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cope" sheetId="1" r:id="rId5"/>
  </sheets>
  <definedNames/>
  <calcPr/>
</workbook>
</file>

<file path=xl/sharedStrings.xml><?xml version="1.0" encoding="utf-8"?>
<sst xmlns="http://schemas.openxmlformats.org/spreadsheetml/2006/main" count="493" uniqueCount="311">
  <si>
    <t>SN</t>
  </si>
  <si>
    <t>Phase</t>
  </si>
  <si>
    <t>Module</t>
  </si>
  <si>
    <t>Feature Name</t>
  </si>
  <si>
    <t>Feature Description (Client-Friendly)</t>
  </si>
  <si>
    <t>User Roles</t>
  </si>
  <si>
    <t xml:space="preserve">Platform </t>
  </si>
  <si>
    <t>Backend Dependency (Yes/Partial/No)</t>
  </si>
  <si>
    <t>Complexity (Low/Medium/High)</t>
  </si>
  <si>
    <t>Assumptions</t>
  </si>
  <si>
    <t>Explicit Exclusions</t>
  </si>
  <si>
    <t>Risk Note</t>
  </si>
  <si>
    <t>Effort (Person-Days)</t>
  </si>
  <si>
    <t>Est. Hours</t>
  </si>
  <si>
    <t xml:space="preserve">Cost </t>
  </si>
  <si>
    <t>Notes / Negotiation Buffer</t>
  </si>
  <si>
    <t>🟦 PHASE 0 — FOUNDATION, ARCHITECTURE &amp; INTEGRATION</t>
  </si>
  <si>
    <t>Hourly Rate</t>
  </si>
  <si>
    <t>Goal</t>
  </si>
  <si>
    <t>Stand up the app skeleton, managed backend, security model, and the BLE lock/unlock interface specification before any feature work begins. This phase locks the architecture, hands a clear BLE protocol to the client's firmware team, and gets the app building on both iOS and Android.</t>
  </si>
  <si>
    <t>Client framing:</t>
  </si>
  <si>
    <t xml:space="preserve"> •  Full system architecture and data-flow design across app, backend, and BLE device
•  BLE Interface Spec (lock/unlock + dead-man auto-lock) delivered to the firmware team
•  Managed backend (BaaS): authentication, user/device database, and push set up
•  React Native app scaffold building on both iOS and Android via CI/CD
•  Privacy-by-design security model — on-device data handling, secure storage, encryption
•  Design system / UI kit and key-screen wireframes</t>
  </si>
  <si>
    <t>Phase 0</t>
  </si>
  <si>
    <t>Architecture</t>
  </si>
  <si>
    <t>System Architecture &amp; Data-Flow Design</t>
  </si>
  <si>
    <t>Define the full app–backend–BLE-device architecture, including data-flow diagrams, the privacy-by-design model (no raw ID/biometric data leaves the device), and the integration blueprint for all later phases.</t>
  </si>
  <si>
    <t>All</t>
  </si>
  <si>
    <t>Mobile + Backend</t>
  </si>
  <si>
    <t>Yes</t>
  </si>
  <si>
    <t>High</t>
  </si>
  <si>
    <t>Client confirms BaaS choice (Supabase/Firebase) and device hardware (YC1012_JD).</t>
  </si>
  <si>
    <t>Infrastructure procurement / hosting</t>
  </si>
  <si>
    <t>Architecture gaps discovered late once firmware constraints are known.</t>
  </si>
  <si>
    <t>Architecture must be approved before Phase 1 begins.</t>
  </si>
  <si>
    <t>BLE</t>
  </si>
  <si>
    <t>BLE Interface Spec (Lock/Unlock + Dead-Man Auto-Lock)</t>
  </si>
  <si>
    <t>Author the custom GATT service contract for the firmware team: lockState (read/notify), lockCommand (authenticated write), and auth/session pairing token, plus the firmware-side auto-lock-on-disconnect behaviour.</t>
  </si>
  <si>
    <t>Backend</t>
  </si>
  <si>
    <t>Firmware team will implement to our spec and is available for review.</t>
  </si>
  <si>
    <t>Firmware development on the device itself</t>
  </si>
  <si>
    <t>Spec ambiguity causing firmware/app mismatch at integration.</t>
  </si>
  <si>
    <t>This spec is the contract for Phase 3 joint integration testing.</t>
  </si>
  <si>
    <t>BaaS Setup — Auth, DB Schema &amp; Push</t>
  </si>
  <si>
    <t>Provision the managed backend: authentication, the users/devices/verification-flag database schema, and push (FCM/APNs). Backend stores only an age_verified boolean + timestamp/method — never raw documents or biometrics.</t>
  </si>
  <si>
    <t>Admin</t>
  </si>
  <si>
    <t>Medium</t>
  </si>
  <si>
    <t>Client provides or approves the BaaS account and billing.</t>
  </si>
  <si>
    <t>Self-hosted backend infrastructure</t>
  </si>
  <si>
    <t>Vendor limits or quota on auth/push at scale.</t>
  </si>
  <si>
    <t>Single source of truth for accounts and device ownership.</t>
  </si>
  <si>
    <t>App</t>
  </si>
  <si>
    <t>RN App Scaffold, Navigation &amp; Native Module Wiring</t>
  </si>
  <si>
    <t>Set up the React Native + TypeScript project, navigation structure, and wiring for native modules: BLE (react-native-ble-plx), camera (vision-camera), on-device ML, and secure storage (Keychain/Keystore).</t>
  </si>
  <si>
    <t>Mobile (iOS+Android)</t>
  </si>
  <si>
    <t>Partial</t>
  </si>
  <si>
    <t>Single shared codebase targeting current iOS and Android versions.</t>
  </si>
  <si>
    <t>Native OS-specific custom UI beyond agreed screens</t>
  </si>
  <si>
    <t>Native module incompatibilities across RN versions.</t>
  </si>
  <si>
    <t>Foundation all feature phases build on.</t>
  </si>
  <si>
    <t>DevOps</t>
  </si>
  <si>
    <t>CI/CD + Dev / Staging / Prod Build Pipelines</t>
  </si>
  <si>
    <t>Configure Development, Staging, and Production environments with automated iOS and Android build, signing, and deployment pipelines (TestFlight / Play Internal Testing for staging builds).</t>
  </si>
  <si>
    <t>No</t>
  </si>
  <si>
    <t>Client provides Apple and Google developer accounts and signing assets.</t>
  </si>
  <si>
    <t>Ongoing hosting / account cost management</t>
  </si>
  <si>
    <t>Code-signing and provisioning friction, especially iOS.</t>
  </si>
  <si>
    <t>Staging must mirror production configuration.</t>
  </si>
  <si>
    <t>Security</t>
  </si>
  <si>
    <t>Privacy &amp; Security Design (On-Device Handling, Secure Storage, Encryption)</t>
  </si>
  <si>
    <t>Design the security model: on-device-only processing of ID/selfie/biometrics, encrypted secure storage of tokens, HTTPS everywhere, and the deletion policy that runs after each verification decision.</t>
  </si>
  <si>
    <t>On-device ML is sufficient for the verification flow (no KYC vendor).</t>
  </si>
  <si>
    <t>Third-party / government ID validation APIs</t>
  </si>
  <si>
    <t>Mishandling of sensitive data if deletion policy is incomplete.</t>
  </si>
  <si>
    <t>Privacy-by-design is a core selling point — must be airtight.</t>
  </si>
  <si>
    <t>Design</t>
  </si>
  <si>
    <t>Design System / UI Kit + Key-Screen Wireframes</t>
  </si>
  <si>
    <t>Produce the design system (colour, type, components) and wireframes for key screens: onboarding, device pairing, age verification flow, and lock/unlock control.</t>
  </si>
  <si>
    <t>Brand assets (logo, palette) provided by client or agreed early.</t>
  </si>
  <si>
    <t>Full high-fidelity design for add-on / admin screens</t>
  </si>
  <si>
    <t>Design churn if key flows change after wireframe sign-off.</t>
  </si>
  <si>
    <t>Design is front-loaded so build can start in week 1–2.</t>
  </si>
  <si>
    <t>Total Working Days</t>
  </si>
  <si>
    <t>Exit Criteria</t>
  </si>
  <si>
    <t>- System architecture document approved by all stakeholders</t>
  </si>
  <si>
    <t>- BLE Interface Spec delivered to and acknowledged by the firmware team</t>
  </si>
  <si>
    <t>- Backend auth and database live; age_verified flag schema in place</t>
  </si>
  <si>
    <t>- App builds and runs on both iOS and Android via CI/CD</t>
  </si>
  <si>
    <t>- Dev / Staging / Production environments configured</t>
  </si>
  <si>
    <t>- Design system and key-screen wireframes approved</t>
  </si>
  <si>
    <t>🟩 PHASE 1 — ACCOUNTS &amp; DEVICE MANAGEMENT (BLE)</t>
  </si>
  <si>
    <t>Deliver the full account lifecycle and the ability to pair and manage multiple BLE devices. By the end of this phase a user can register, sign in, discover and bond devices, and see live device status that survives reconnects and app backgrounding.</t>
  </si>
  <si>
    <t>Client framing</t>
  </si>
  <si>
    <t>•  Signup, login, and password reset via the managed backend
•  Onboarding flow with BLE and camera permission handling
•  BLE device scan, discovery, and secure pairing / bonding
•  Multi-device management — list, rename, unpair, status, battery
•  Device-to-account sync so ownership is enforced server-side
•  Robust connection lifecycle: reconnect and background handling</t>
  </si>
  <si>
    <t>Phase 1</t>
  </si>
  <si>
    <t>Auth</t>
  </si>
  <si>
    <t>Signup / Login / Password Reset</t>
  </si>
  <si>
    <t>Account creation, secure login, and email-based password reset handled by the managed backend (BaaS). Establishes the verified identity that device ownership and age status attach to.</t>
  </si>
  <si>
    <t>Customer</t>
  </si>
  <si>
    <t>BaaS auth supports email/password and reset email flow.</t>
  </si>
  <si>
    <t>Social / SSO login</t>
  </si>
  <si>
    <t>Email deliverability for reset links.</t>
  </si>
  <si>
    <t>Onboarding</t>
  </si>
  <si>
    <t>Onboarding &amp; Permissions (BLE, Camera) Flow</t>
  </si>
  <si>
    <t>Guided first-run experience that explains the app and requests BLE and camera permissions at the right moment, with clear fallback messaging if a permission is denied.</t>
  </si>
  <si>
    <t>Low</t>
  </si>
  <si>
    <t>Standard OS permission dialogs are acceptable to client.</t>
  </si>
  <si>
    <t>Custom permission-priming screens beyond agreed flow</t>
  </si>
  <si>
    <t>Users denying permissions and getting stuck — needs recovery path.</t>
  </si>
  <si>
    <t>Device Scan &amp; Discovery</t>
  </si>
  <si>
    <t>Scan for nearby Blue Smoke devices over BLE and present discoverable devices to the user for selection, filtering to the project's GATT service.</t>
  </si>
  <si>
    <t>Device advertises the agreed BLE service UUID.</t>
  </si>
  <si>
    <t>Support for non-Blue-Smoke BLE peripherals</t>
  </si>
  <si>
    <t>Scan reliability differences across Android OEMs.</t>
  </si>
  <si>
    <t>Pairing / Bonding Flow</t>
  </si>
  <si>
    <t>Secure BLE bonding plus an app-level device token bound to the verified account, so only the bonded, verified user's app can later command the device.</t>
  </si>
  <si>
    <t>Firmware supports BLE bonding and token exchange per spec.</t>
  </si>
  <si>
    <t>Out-of-band / NFC pairing</t>
  </si>
  <si>
    <t>Bonding edge cases and lost-bond recovery.</t>
  </si>
  <si>
    <t>Pairing security underpins all lock/unlock authority.</t>
  </si>
  <si>
    <t>Devices</t>
  </si>
  <si>
    <t>Multi-Device Management (List, Rename, Unpair, Status, Battery)</t>
  </si>
  <si>
    <t>Manage multiple paired devices: list all bonded devices, rename them, unpair, and view live connection status and battery level for each.</t>
  </si>
  <si>
    <t>Device exposes battery via the lockState characteristic.</t>
  </si>
  <si>
    <t>Sharing a device across multiple accounts</t>
  </si>
  <si>
    <t>Status/battery polling impact on battery and connection.</t>
  </si>
  <si>
    <t>Sync</t>
  </si>
  <si>
    <t>Device ↔ Account Sync to Backend</t>
  </si>
  <si>
    <t>Sync paired-device records to the backend so device ownership is enforced server-side and survives reinstalls and new devices.</t>
  </si>
  <si>
    <t>Backend device model defined in Phase 0.</t>
  </si>
  <si>
    <t>Cross-user device transfer workflow</t>
  </si>
  <si>
    <t>Sync conflicts when the same device is re-paired elsewhere.</t>
  </si>
  <si>
    <t>Connection Lifecycle (Reconnect, Background Handling)</t>
  </si>
  <si>
    <t>Manage the BLE connection across app states: automatic reconnect after drops and correct behaviour when the app is backgrounded or relaunched.</t>
  </si>
  <si>
    <t>Target OS versions allow the required background BLE modes.</t>
  </si>
  <si>
    <t>Guaranteed connectivity in OS-killed / terminated state</t>
  </si>
  <si>
    <t>iOS background BLE restrictions are a known hard problem.</t>
  </si>
  <si>
    <t>De-risked further in Phase 3 background work.</t>
  </si>
  <si>
    <t>Profile</t>
  </si>
  <si>
    <t>Profile &amp; Settings</t>
  </si>
  <si>
    <t>User profile and app settings: view account details, manage notification preferences, and access support/legal links.</t>
  </si>
  <si>
    <t>Profile fields limited to agreed set.</t>
  </si>
  <si>
    <t>In-app account deletion / data-export tooling</t>
  </si>
  <si>
    <t>Total Working Day</t>
  </si>
  <si>
    <t>- User can sign up, sign in, and reset password</t>
  </si>
  <si>
    <t>- User can scan, pair, and bond multiple devices</t>
  </si>
  <si>
    <t>- Devices can be listed, renamed, and unpaired</t>
  </si>
  <si>
    <t>- Live device status and battery shown per device</t>
  </si>
  <si>
    <t>- Connection reconnects correctly across app foreground/background states</t>
  </si>
  <si>
    <t>🟨 PHASE 2 — AGE &amp; IDENTITY VERIFICATION (ON-DEVICE)</t>
  </si>
  <si>
    <t xml:space="preserve">Deliver the 18+ gate entirely on-device: government-ID OCR for date of birth plus a selfie-vs-ID face match, with no third-party KYC vendor and no raw data leaving the phone. This is the highest-risk phase and includes dedicated accuracy-tuning time.													</t>
  </si>
  <si>
    <t>•  Guided ID capture with edge detection
•  On-device OCR + DOB extraction (text recognition and PDF417/MRZ barcode)
•  18+ age computation handling multiple DOB formats
•  Selfie capture with basic liveness, Face-ID-enrollment style
•  ID-photo vs selfie face match with tuned similarity threshold
•  Retry, failure, and manual-fallback policy for legitimate edge cases
•  Secure deletion of ID/selfie/biometrics after the pass/fail decision</t>
  </si>
  <si>
    <t>Phase 2</t>
  </si>
  <si>
    <t>Capture</t>
  </si>
  <si>
    <t>Guided ID Capture UI (Edge Detection)</t>
  </si>
  <si>
    <t>Camera UI that guides the user to photograph a government ID, with edge detection and quality checks to capture a clean, readable image for OCR.</t>
  </si>
  <si>
    <t>Physical sample government IDs available for testing.</t>
  </si>
  <si>
    <t>Supporting every international ID format</t>
  </si>
  <si>
    <t>Poor lighting / glare reducing capture quality.</t>
  </si>
  <si>
    <t>OCR</t>
  </si>
  <si>
    <t>ID OCR + DOB Extraction (Text + PDF417 / MRZ)</t>
  </si>
  <si>
    <t>On-device text recognition (ML Kit / Apple Vision) plus PDF417/MRZ barcode parsing to reliably extract date of birth from the captured ID.</t>
  </si>
  <si>
    <t>Target IDs carry DOB in readable text and/or barcode.</t>
  </si>
  <si>
    <t>Cloud OCR services</t>
  </si>
  <si>
    <t>DOB extraction accuracy across ID layouts and old IDs.</t>
  </si>
  <si>
    <t>On-device only — no document leaves the phone.</t>
  </si>
  <si>
    <t>Age</t>
  </si>
  <si>
    <t>Age (18+) Computation &amp; Multi-Format DOB Rules</t>
  </si>
  <si>
    <t>Normalise the extracted DOB across date formats, compute age, and enforce the 18+ requirement as a hard gate.</t>
  </si>
  <si>
    <t>18+ threshold confirmed with client.</t>
  </si>
  <si>
    <t>Region-specific minimum-age variations</t>
  </si>
  <si>
    <t>Date-format ambiguity (e.g. MM/DD vs DD/MM).</t>
  </si>
  <si>
    <t>Threshold is configurable if client needs 21+ in some regions.</t>
  </si>
  <si>
    <t>Selfie</t>
  </si>
  <si>
    <t>Selfie Capture with Liveness (Face-ID Style)</t>
  </si>
  <si>
    <t>Guided selfie capture with basic liveness detection (blink/turn/multi-frame) to confirm a live person is present before face matching.</t>
  </si>
  <si>
    <t>Device front cameras meet a baseline quality bar.</t>
  </si>
  <si>
    <t>Advanced anti-spoofing / presentation-attack detection</t>
  </si>
  <si>
    <t>Liveness false rejects on lower-end devices.</t>
  </si>
  <si>
    <t>Advanced anti-spoofing available as an add-on.</t>
  </si>
  <si>
    <t>Face Match</t>
  </si>
  <si>
    <t>ID-Photo vs Selfie Face Match + Threshold Tuning</t>
  </si>
  <si>
    <t>Extract face embeddings from the ID photo and the selfie, compare similarity against a tuned threshold, and decide a match — fully on-device. Includes dedicated tuning time.</t>
  </si>
  <si>
    <t>On-device face embedding models are sufficiently accurate.</t>
  </si>
  <si>
    <t>Server-side / vendor biometric matching</t>
  </si>
  <si>
    <t>False rejects from poor ID photos — the single biggest accuracy risk.</t>
  </si>
  <si>
    <t>Largest line item by design — accuracy tuning is critical.</t>
  </si>
  <si>
    <t>Flow</t>
  </si>
  <si>
    <t>Result Handling, Retries, Failure States &amp; Manual Fallback Policy</t>
  </si>
  <si>
    <t>Orchestrate the end-to-end decision: pass requires (age ≥ 18) AND (face match ≥ threshold). Handle retries, clear error states, and an agreed manual-review fallback for legitimate edge cases.</t>
  </si>
  <si>
    <t>Customer / Admin</t>
  </si>
  <si>
    <t>Manual fallback policy (e.g. support contact) agreed with client.</t>
  </si>
  <si>
    <t>Automated human review queue / back-office tooling</t>
  </si>
  <si>
    <t>Edge-case users blocked with no recourse if fallback undefined.</t>
  </si>
  <si>
    <t>Manual fallback policy must be agreed before build.</t>
  </si>
  <si>
    <t>Privacy</t>
  </si>
  <si>
    <t>Secure Handling + Deletion of ID / Selfie / Biometrics</t>
  </si>
  <si>
    <t>Process all images and embeddings in memory / secure storage and delete them immediately after the pass/fail decision. Backend receives only the age_verified flag plus timestamp/method.</t>
  </si>
  <si>
    <t>Security design from Phase 0 finalised.</t>
  </si>
  <si>
    <t>Retaining ID/selfie for audit</t>
  </si>
  <si>
    <t>Incomplete deletion leaving sensitive data on device.</t>
  </si>
  <si>
    <t>No raw documents or biometrics are ever stored or transmitted.</t>
  </si>
  <si>
    <t>Gating</t>
  </si>
  <si>
    <t>Verification Status Persisted; Gates First Activation</t>
  </si>
  <si>
    <t>Persist the verified status and use it to gate first-time device activation — an unverified user cannot activate or unlock any device.</t>
  </si>
  <si>
    <t>age_verified flag schema available from Phase 0.</t>
  </si>
  <si>
    <t>Re-verification scheduling / expiry policy</t>
  </si>
  <si>
    <t>Flag tampering if not validated server-side.</t>
  </si>
  <si>
    <t>- Valid 18+ ID with a matching selfie results in a pass</t>
  </si>
  <si>
    <t>- Under-18 ID or mismatched selfie is blocked</t>
  </si>
  <si>
    <t>- DOB extracted correctly across supported ID formats</t>
  </si>
  <si>
    <t>- Images and biometrics deleted after the decision</t>
  </si>
  <si>
    <t>- Backend stores only the age_verified flag (+ timestamp/method)</t>
  </si>
  <si>
    <t>- First device activation is gated on verification</t>
  </si>
  <si>
    <t>🟥 PHASE 3 — PROXIMITY LOCK/UNLOCK &amp; PRODUCTION HARDENING</t>
  </si>
  <si>
    <t>Deliver secure, authenticated lock/unlock plus proximity auto-lock, prove it against real firmware, and harden the app for store launch. The device auto-locks itself when the phone leaves BLE range; the app is the controller and never relies on the phone alone to keep the device locked.</t>
  </si>
  <si>
    <t>•  First-time unlock (post-verification activation)
•  Authenticated lock/unlock via the BLE characteristic
•  Proximity monitor (RSSI/connection) with auto-lock on range loss
•  Background BLE behaviour on iOS and Android — auto-lock when out of range
•  Push notifications for lock status and low battery
•  Joint firmware integration testing on a real device
•  End-to-end QA, security review, and dual app-store submission</t>
  </si>
  <si>
    <t>Phase 3</t>
  </si>
  <si>
    <t>Activation</t>
  </si>
  <si>
    <t>First-Time Unlock (Post-Verification Activation)</t>
  </si>
  <si>
    <t>Activate a device for the first time only after age verification has passed, transitioning it from locked-by-default to a usable state for the verified owner.</t>
  </si>
  <si>
    <t>Verification gating from Phase 2 in place.</t>
  </si>
  <si>
    <t>Activation without verification</t>
  </si>
  <si>
    <t>Activation race conditions on first connect.</t>
  </si>
  <si>
    <t>Control</t>
  </si>
  <si>
    <t>Lock/Unlock via BLE Characteristic (Authenticated)</t>
  </si>
  <si>
    <t>Send authenticated lock and unlock commands to the device over the BLE lockCommand characteristic, validated by the pairing token so only the bonded, verified user can command it.</t>
  </si>
  <si>
    <t>Firmware implements authenticated lockCommand per spec.</t>
  </si>
  <si>
    <t>Firmware-side command logic (client team)</t>
  </si>
  <si>
    <t>Auth/token edge cases allowing unintended commands.</t>
  </si>
  <si>
    <t>Core safety control — exhaustively tested.</t>
  </si>
  <si>
    <t>Proximity</t>
  </si>
  <si>
    <t>Proximity Monitor (RSSI / Connection) + Auto-Lock on Range Loss</t>
  </si>
  <si>
    <t>Continuously monitor signal strength and connection state; when the phone moves out of range the app issues an explicit lock, as a secondary signal to the firmware's own dead-man auto-lock.</t>
  </si>
  <si>
    <t>RSSI thresholds tunable to an agreed range behaviour.</t>
  </si>
  <si>
    <t>Centimetre-accurate ranging</t>
  </si>
  <si>
    <t>RSSI noise causing premature or missed auto-lock.</t>
  </si>
  <si>
    <t>Works alongside firmware dead-man auto-lock, not instead of it.</t>
  </si>
  <si>
    <t>Background</t>
  </si>
  <si>
    <t>Background BLE Behaviour (iOS + Android, Auto-Lock Out of Range)</t>
  </si>
  <si>
    <t>Ensure proximity auto-lock continues to work when the app is backgrounded on both platforms, within each OS's background BLE constraints.</t>
  </si>
  <si>
    <t>Required background BLE entitlements/modes are permitted.</t>
  </si>
  <si>
    <t>Guaranteed behaviour when the OS fully terminates the app</t>
  </si>
  <si>
    <t>Cross-platform background BLE differences, especially iOS.</t>
  </si>
  <si>
    <t>One of the two known hard problems — early spikes planned.</t>
  </si>
  <si>
    <t>Push</t>
  </si>
  <si>
    <t>Push Notifications (Lock Status, Low Battery)</t>
  </si>
  <si>
    <t>Push notifications for key device events: lock/unlock status changes and low-battery alerts, delivered via FCM/APNs.</t>
  </si>
  <si>
    <t>Push infrastructure from Phase 0 live.</t>
  </si>
  <si>
    <t>Marketing / promotional push campaigns</t>
  </si>
  <si>
    <t>Delivery reliability when device events fire rapidly.</t>
  </si>
  <si>
    <t>Integration</t>
  </si>
  <si>
    <t>Joint Firmware Integration Testing on Real Device</t>
  </si>
  <si>
    <t>Test the app against real firmware on a physical device: pairing, authenticated lock/unlock, and firmware-side dead-man auto-lock, jointly with the client's firmware team.</t>
  </si>
  <si>
    <t>Physical device available by ~week 6 for integration.</t>
  </si>
  <si>
    <t>Firmware development / fixes (client team)</t>
  </si>
  <si>
    <t>Firmware readiness slipping past the integration window.</t>
  </si>
  <si>
    <t>Mock peripheral used until firmware is ready.</t>
  </si>
  <si>
    <t>QA</t>
  </si>
  <si>
    <t>End-to-End QA, Edge Cases &amp; Security Review</t>
  </si>
  <si>
    <t>Full end-to-end QA across verification, pairing, lock/unlock, and proximity auto-lock, including edge cases and a security review before launch.</t>
  </si>
  <si>
    <t>Test matrix and devices agreed with client.</t>
  </si>
  <si>
    <t>Formal third-party penetration test / certification</t>
  </si>
  <si>
    <t>Late-surfacing edge cases delaying launch.</t>
  </si>
  <si>
    <t>Security review precedes store submission.</t>
  </si>
  <si>
    <t>Release</t>
  </si>
  <si>
    <t>App Store Prep + Submission (iOS + Android)</t>
  </si>
  <si>
    <t>Prepare store listings, assets, and compliance materials and submit to the Apple App Store and Google Play, including age-restriction / regulated-product review considerations.</t>
  </si>
  <si>
    <t>Client developer accounts and store assets ready.</t>
  </si>
  <si>
    <t>Ongoing post-launch store management</t>
  </si>
  <si>
    <t>Store review delays for an age-restricted product category.</t>
  </si>
  <si>
    <t>Age-restricted category may draw extra store scrutiny.</t>
  </si>
  <si>
    <t>- Verified user can lock and unlock the device in range</t>
  </si>
  <si>
    <t>- Device auto-locks when the phone leaves BLE range (firmware + app)</t>
  </si>
  <si>
    <t>- Auto-lock continues to work when the app is backgrounded</t>
  </si>
  <si>
    <t>- Push notifications fire for lock status and low battery</t>
  </si>
  <si>
    <t>- App passes end-to-end QA and security review</t>
  </si>
  <si>
    <t>- App is live on both the App Store and Google Play</t>
  </si>
  <si>
    <t>➕ ADD-ONS  Included</t>
  </si>
  <si>
    <t>Optional modules quoted separately and not included in the core 4-phase delivery. Presented so the client can see the natural extensions of the platform and budget for them when ready.</t>
  </si>
  <si>
    <t>•  Admin web panel for device fleet, verification audit, and user management
•  Analytics and crash reporting (Firebase / Sentry)
•  Firmware development on the YC1012 / Cortex-M0+ (separate estimate)
•  Advanced liveness — anti-spoofing / presentation-attack detection</t>
  </si>
  <si>
    <t>Add-On</t>
  </si>
  <si>
    <t>Admin Web Panel (Fleet, Verification Audit, User Management)</t>
  </si>
  <si>
    <t>Web panel for administrators to view the device fleet, audit verification outcomes (pass/fail counts and methods, never raw biometrics), and manage users.</t>
  </si>
  <si>
    <t>Web (Admin Panel)</t>
  </si>
  <si>
    <t>Scope of admin actions agreed with client.</t>
  </si>
  <si>
    <t>Included in base scope</t>
  </si>
  <si>
    <t>Audit data must never expose raw ID/biometric material.</t>
  </si>
  <si>
    <t>Significant standalone module — quoted separately.</t>
  </si>
  <si>
    <t>Analytics</t>
  </si>
  <si>
    <t>Analytics &amp; Crash Reporting (Firebase / Sentry)</t>
  </si>
  <si>
    <t>Integrate analytics and crash reporting to track adoption, drop-off in the verification funnel, and stability across devices.</t>
  </si>
  <si>
    <t>Client selects and provides analytics tooling accounts.</t>
  </si>
  <si>
    <t>Custom BI dashboards</t>
  </si>
  <si>
    <t>Analytics must respect the privacy-by-design model.</t>
  </si>
  <si>
    <t>- Each add-on quoted and scheduled separately from core delivery</t>
  </si>
  <si>
    <t>- Admin panel exposes audit metadata only — never raw biometrics</t>
  </si>
  <si>
    <t>➕ ADD-ONS — OUT OF BASE SCOPE (Ideas)</t>
  </si>
  <si>
    <t>Firmware</t>
  </si>
  <si>
    <t>Firmware Development (YC1012 / Cortex-M0+)</t>
  </si>
  <si>
    <t>If the client wants us to build the device firmware (rather than only specifying the BLE protocol), this is scoped and estimated separately against the YC1012_JD / Cortex-M0+ target.</t>
  </si>
  <si>
    <t>Hardware, toolchain, and reference firmware access provided.</t>
  </si>
  <si>
    <t>Included in base scope (base = spec only)</t>
  </si>
  <si>
    <t>Hardware/firmware unknowns until toolchain access.</t>
  </si>
  <si>
    <t>Separate estimate — effort TBD after hardware review.</t>
  </si>
  <si>
    <t>Verification</t>
  </si>
  <si>
    <t>Advanced Liveness (Anti-Spoofing / PAD)</t>
  </si>
  <si>
    <t>Stronger presentation-attack detection on top of the base selfie liveness, to resist photo/video/mask spoofing attempts.</t>
  </si>
  <si>
    <t>Acceptable accuracy/UX trade-off agreed with client.</t>
  </si>
  <si>
    <t>Anti-spoofing increases false rejects if over-tuned.</t>
  </si>
  <si>
    <t>Recommended if regulatory scrutiny is high.</t>
  </si>
  <si>
    <t>- Firmware development estimated after hardware/toolchain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</si>
</sst>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\$#,##0"/>
  </numFmts>
  <fonts count="15">
    <font>
      <sz val="10.0"/>
      <color rgb="FF000000"/>
      <name val="Arial"/>
      <scheme val="minor"/>
    </font>
    <font>
      <b/>
      <color theme="1"/>
      <name val="Roboto"/>
    </font>
    <font>
      <b/>
      <sz val="12.0"/>
      <color theme="1"/>
      <name val="Roboto"/>
    </font>
    <font>
      <color theme="1"/>
      <name val="Arial"/>
      <scheme val="minor"/>
    </font>
    <font>
      <color theme="1"/>
      <name val="Roboto"/>
    </font>
    <font>
      <b/>
      <sz val="10.0"/>
      <color theme="1"/>
      <name val="Roboto"/>
    </font>
    <font>
      <sz val="10.0"/>
      <color theme="1"/>
      <name val="Roboto"/>
    </font>
    <font/>
    <font>
      <color rgb="FF000000"/>
      <name val="Arial"/>
      <scheme val="minor"/>
    </font>
    <font>
      <color theme="0"/>
      <name val="Arial"/>
      <scheme val="minor"/>
    </font>
    <font>
      <sz val="11.0"/>
      <color theme="1"/>
      <name val="Roboto"/>
    </font>
    <font>
      <color rgb="FFFFFFFF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D9D2E9"/>
        <bgColor rgb="FFD9D2E9"/>
      </patternFill>
    </fill>
  </fills>
  <borders count="3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shrinkToFit="0" vertical="center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4" numFmtId="0" xfId="0" applyAlignment="1" applyFont="1">
      <alignment horizontal="right" shrinkToFit="0" vertical="top" wrapText="1"/>
    </xf>
    <xf borderId="0" fillId="3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3" fontId="5" numFmtId="0" xfId="0" applyAlignment="1" applyFont="1">
      <alignment readingOrder="0"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2" fillId="3" fontId="6" numFmtId="0" xfId="0" applyAlignment="1" applyBorder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5" fillId="3" fontId="6" numFmtId="0" xfId="0" applyAlignment="1" applyBorder="1" applyFont="1">
      <alignment readingOrder="0" shrinkToFit="0" wrapText="1"/>
    </xf>
    <xf borderId="5" fillId="0" fontId="7" numFmtId="0" xfId="0" applyBorder="1" applyFont="1"/>
    <xf borderId="6" fillId="0" fontId="7" numFmtId="0" xfId="0" applyBorder="1" applyFont="1"/>
    <xf borderId="0" fillId="0" fontId="8" numFmtId="0" xfId="0" applyAlignment="1" applyFont="1">
      <alignment readingOrder="0" shrinkToFit="0" vertical="top" wrapText="1"/>
    </xf>
    <xf borderId="0" fillId="4" fontId="9" numFmtId="0" xfId="0" applyAlignment="1" applyFill="1" applyFont="1">
      <alignment readingOrder="0" shrinkToFit="0" vertical="top" wrapText="1"/>
    </xf>
    <xf borderId="7" fillId="0" fontId="4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7" fillId="0" fontId="4" numFmtId="164" xfId="0" applyAlignment="1" applyBorder="1" applyFont="1" applyNumberFormat="1">
      <alignment horizontal="center" shrinkToFit="0" vertical="top" wrapText="1"/>
    </xf>
    <xf borderId="7" fillId="0" fontId="4" numFmtId="3" xfId="0" applyAlignment="1" applyBorder="1" applyFont="1" applyNumberFormat="1">
      <alignment horizontal="center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vertical="top"/>
    </xf>
    <xf borderId="8" fillId="0" fontId="1" numFmtId="0" xfId="0" applyAlignment="1" applyBorder="1" applyFont="1">
      <alignment horizontal="right" vertical="bottom"/>
    </xf>
    <xf borderId="8" fillId="0" fontId="1" numFmtId="164" xfId="0" applyAlignment="1" applyBorder="1" applyFont="1" applyNumberFormat="1">
      <alignment horizontal="right" vertical="bottom"/>
    </xf>
    <xf borderId="8" fillId="0" fontId="1" numFmtId="3" xfId="0" applyAlignment="1" applyBorder="1" applyFont="1" applyNumberFormat="1">
      <alignment horizontal="right" vertical="bottom"/>
    </xf>
    <xf borderId="8" fillId="0" fontId="1" numFmtId="165" xfId="0" applyAlignment="1" applyBorder="1" applyFont="1" applyNumberFormat="1">
      <alignment horizontal="right" vertical="bottom"/>
    </xf>
    <xf borderId="0" fillId="5" fontId="4" numFmtId="0" xfId="0" applyAlignment="1" applyFill="1" applyFont="1">
      <alignment readingOrder="0" shrinkToFit="0" vertical="top" wrapText="1"/>
    </xf>
    <xf borderId="9" fillId="5" fontId="4" numFmtId="0" xfId="0" applyAlignment="1" applyBorder="1" applyFont="1">
      <alignment readingOrder="0" shrinkToFit="0" vertical="top" wrapText="1"/>
    </xf>
    <xf borderId="10" fillId="0" fontId="4" numFmtId="0" xfId="0" applyAlignment="1" applyBorder="1" applyFont="1">
      <alignment shrinkToFit="0" vertical="top" wrapText="1"/>
    </xf>
    <xf borderId="11" fillId="0" fontId="7" numFmtId="0" xfId="0" applyBorder="1" applyFont="1"/>
    <xf borderId="12" fillId="0" fontId="7" numFmtId="0" xfId="0" applyBorder="1" applyFont="1"/>
    <xf borderId="13" fillId="0" fontId="4" numFmtId="0" xfId="0" applyAlignment="1" applyBorder="1" applyFont="1">
      <alignment shrinkToFit="0" vertical="top" wrapText="1"/>
    </xf>
    <xf borderId="14" fillId="0" fontId="7" numFmtId="0" xfId="0" applyBorder="1" applyFont="1"/>
    <xf borderId="15" fillId="0" fontId="4" numFmtId="0" xfId="0" applyAlignment="1" applyBorder="1" applyFont="1">
      <alignment shrinkToFit="0" vertical="top" wrapText="1"/>
    </xf>
    <xf borderId="16" fillId="0" fontId="7" numFmtId="0" xfId="0" applyBorder="1" applyFont="1"/>
    <xf borderId="17" fillId="0" fontId="7" numFmtId="0" xfId="0" applyBorder="1" applyFont="1"/>
    <xf borderId="0" fillId="6" fontId="2" numFmtId="0" xfId="0" applyAlignment="1" applyFill="1" applyFont="1">
      <alignment readingOrder="0" shrinkToFit="0" wrapText="1"/>
    </xf>
    <xf borderId="18" fillId="6" fontId="2" numFmtId="0" xfId="0" applyBorder="1" applyFont="1"/>
    <xf borderId="19" fillId="0" fontId="7" numFmtId="0" xfId="0" applyBorder="1" applyFont="1"/>
    <xf borderId="20" fillId="0" fontId="7" numFmtId="0" xfId="0" applyBorder="1" applyFont="1"/>
    <xf borderId="0" fillId="6" fontId="3" numFmtId="0" xfId="0" applyAlignment="1" applyFont="1">
      <alignment readingOrder="0" shrinkToFit="0" wrapText="1"/>
    </xf>
    <xf borderId="0" fillId="6" fontId="4" numFmtId="0" xfId="0" applyAlignment="1" applyFont="1">
      <alignment horizontal="right" shrinkToFit="0" vertical="top" wrapText="1"/>
    </xf>
    <xf borderId="0" fillId="6" fontId="4" numFmtId="0" xfId="0" applyAlignment="1" applyFont="1">
      <alignment shrinkToFit="0" vertical="top" wrapText="1"/>
    </xf>
    <xf borderId="0" fillId="6" fontId="5" numFmtId="0" xfId="0" applyAlignment="1" applyFont="1">
      <alignment readingOrder="0" shrinkToFit="0" wrapText="1"/>
    </xf>
    <xf borderId="21" fillId="6" fontId="5" numFmtId="0" xfId="0" applyAlignment="1" applyBorder="1" applyFont="1">
      <alignment readingOrder="0" shrinkToFit="0" vertical="top" wrapText="1"/>
    </xf>
    <xf borderId="22" fillId="6" fontId="6" numFmtId="0" xfId="0" applyAlignment="1" applyBorder="1" applyFont="1">
      <alignment readingOrder="0" shrinkToFit="0" wrapText="1"/>
    </xf>
    <xf borderId="23" fillId="0" fontId="7" numFmtId="0" xfId="0" applyBorder="1" applyFont="1"/>
    <xf borderId="24" fillId="0" fontId="7" numFmtId="0" xfId="0" applyBorder="1" applyFont="1"/>
    <xf borderId="0" fillId="6" fontId="5" numFmtId="0" xfId="0" applyAlignment="1" applyFont="1">
      <alignment readingOrder="0" shrinkToFit="0" vertical="top" wrapText="1"/>
    </xf>
    <xf borderId="4" fillId="6" fontId="5" numFmtId="0" xfId="0" applyAlignment="1" applyBorder="1" applyFont="1">
      <alignment readingOrder="0" shrinkToFit="0" vertical="top" wrapText="1"/>
    </xf>
    <xf borderId="25" fillId="6" fontId="4" numFmtId="0" xfId="0" applyAlignment="1" applyBorder="1" applyFont="1">
      <alignment readingOrder="0" shrinkToFit="0" vertical="top" wrapText="1"/>
    </xf>
    <xf borderId="26" fillId="0" fontId="7" numFmtId="0" xfId="0" applyBorder="1" applyFont="1"/>
    <xf borderId="27" fillId="0" fontId="7" numFmtId="0" xfId="0" applyBorder="1" applyFont="1"/>
    <xf borderId="0" fillId="7" fontId="11" numFmtId="0" xfId="0" applyAlignment="1" applyFill="1" applyFont="1">
      <alignment readingOrder="0" shrinkToFit="0" vertical="top" wrapText="1"/>
    </xf>
    <xf borderId="7" fillId="0" fontId="12" numFmtId="0" xfId="0" applyAlignment="1" applyBorder="1" applyFont="1">
      <alignment vertical="top"/>
    </xf>
    <xf borderId="7" fillId="0" fontId="4" numFmtId="0" xfId="0" applyAlignment="1" applyBorder="1" applyFont="1">
      <alignment shrinkToFit="0" vertical="top" wrapText="1"/>
    </xf>
    <xf borderId="7" fillId="0" fontId="4" numFmtId="0" xfId="0" applyAlignment="1" applyBorder="1" applyFont="1">
      <alignment readingOrder="0" shrinkToFit="0" vertical="top" wrapText="1"/>
    </xf>
    <xf borderId="7" fillId="0" fontId="10" numFmtId="0" xfId="0" applyAlignment="1" applyBorder="1" applyFont="1">
      <alignment readingOrder="0" vertical="top"/>
    </xf>
    <xf borderId="20" fillId="0" fontId="10" numFmtId="0" xfId="0" applyAlignment="1" applyBorder="1" applyFont="1">
      <alignment vertical="top"/>
    </xf>
    <xf borderId="0" fillId="0" fontId="1" numFmtId="0" xfId="0" applyAlignment="1" applyFont="1">
      <alignment horizontal="right" readingOrder="0"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3" xfId="0" applyAlignment="1" applyFont="1" applyNumberFormat="1">
      <alignment horizontal="right" shrinkToFit="0" vertical="top" wrapText="1"/>
    </xf>
    <xf borderId="0" fillId="5" fontId="2" numFmtId="0" xfId="0" applyAlignment="1" applyFont="1">
      <alignment readingOrder="0" shrinkToFit="0" wrapText="1"/>
    </xf>
    <xf borderId="18" fillId="5" fontId="2" numFmtId="0" xfId="0" applyBorder="1" applyFont="1"/>
    <xf borderId="0" fillId="5" fontId="3" numFmtId="0" xfId="0" applyAlignment="1" applyFont="1">
      <alignment readingOrder="0" shrinkToFit="0" wrapText="1"/>
    </xf>
    <xf borderId="0" fillId="5" fontId="4" numFmtId="0" xfId="0" applyAlignment="1" applyFont="1">
      <alignment horizontal="right" shrinkToFit="0" vertical="top" wrapText="1"/>
    </xf>
    <xf borderId="0" fillId="5" fontId="4" numFmtId="0" xfId="0" applyAlignment="1" applyFont="1">
      <alignment shrinkToFit="0" vertical="top" wrapText="1"/>
    </xf>
    <xf borderId="0" fillId="5" fontId="5" numFmtId="0" xfId="0" applyAlignment="1" applyFont="1">
      <alignment readingOrder="0" shrinkToFit="0" wrapText="1"/>
    </xf>
    <xf borderId="21" fillId="5" fontId="5" numFmtId="0" xfId="0" applyAlignment="1" applyBorder="1" applyFont="1">
      <alignment readingOrder="0" shrinkToFit="0" vertical="top" wrapText="1"/>
    </xf>
    <xf borderId="0" fillId="5" fontId="6" numFmtId="0" xfId="0" applyAlignment="1" applyFont="1">
      <alignment readingOrder="0" shrinkToFit="0" wrapText="1"/>
    </xf>
    <xf borderId="28" fillId="0" fontId="7" numFmtId="0" xfId="0" applyBorder="1" applyFont="1"/>
    <xf borderId="0" fillId="5" fontId="5" numFmtId="0" xfId="0" applyAlignment="1" applyFont="1">
      <alignment readingOrder="0" shrinkToFit="0" vertical="top" wrapText="1"/>
    </xf>
    <xf borderId="4" fillId="5" fontId="5" numFmtId="0" xfId="0" applyAlignment="1" applyBorder="1" applyFont="1">
      <alignment readingOrder="0" shrinkToFit="0" vertical="top" wrapText="1"/>
    </xf>
    <xf borderId="5" fillId="5" fontId="6" numFmtId="0" xfId="0" applyAlignment="1" applyBorder="1" applyFont="1">
      <alignment readingOrder="0" shrinkToFit="0" wrapText="1"/>
    </xf>
    <xf borderId="0" fillId="8" fontId="8" numFmtId="0" xfId="0" applyAlignment="1" applyFill="1" applyFont="1">
      <alignment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29" fillId="0" fontId="13" numFmtId="3" xfId="0" applyAlignment="1" applyBorder="1" applyFont="1" applyNumberFormat="1">
      <alignment horizontal="right" readingOrder="0" vertical="top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horizontal="right" vertical="top"/>
    </xf>
    <xf borderId="30" fillId="5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right" vertical="top"/>
    </xf>
    <xf borderId="0" fillId="2" fontId="2" numFmtId="0" xfId="0" applyAlignment="1" applyFont="1">
      <alignment readingOrder="0" shrinkToFit="0" wrapText="1"/>
    </xf>
    <xf borderId="18" fillId="2" fontId="2" numFmtId="0" xfId="0" applyBorder="1" applyFont="1"/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horizontal="right" shrinkToFit="0" vertical="top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readingOrder="0" shrinkToFit="0" wrapText="1"/>
    </xf>
    <xf borderId="21" fillId="2" fontId="5" numFmtId="0" xfId="0" applyAlignment="1" applyBorder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top" wrapText="1"/>
    </xf>
    <xf borderId="4" fillId="2" fontId="5" numFmtId="0" xfId="0" applyAlignment="1" applyBorder="1" applyFont="1">
      <alignment readingOrder="0" shrinkToFit="0" vertical="top" wrapText="1"/>
    </xf>
    <xf borderId="5" fillId="2" fontId="6" numFmtId="0" xfId="0" applyAlignment="1" applyBorder="1" applyFont="1">
      <alignment readingOrder="0" shrinkToFit="0" wrapText="1"/>
    </xf>
    <xf borderId="0" fillId="9" fontId="11" numFmtId="0" xfId="0" applyAlignment="1" applyFill="1" applyFont="1">
      <alignment readingOrder="0" shrinkToFit="0" vertical="top" wrapText="1"/>
    </xf>
    <xf borderId="0" fillId="0" fontId="1" numFmtId="164" xfId="0" applyAlignment="1" applyFont="1" applyNumberFormat="1">
      <alignment vertical="top"/>
    </xf>
    <xf borderId="31" fillId="5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18" fillId="6" fontId="14" numFmtId="0" xfId="0" applyAlignment="1" applyBorder="1" applyFont="1">
      <alignment readingOrder="0" shrinkToFit="0" wrapText="1"/>
    </xf>
    <xf borderId="0" fillId="10" fontId="3" numFmtId="0" xfId="0" applyAlignment="1" applyFill="1" applyFont="1">
      <alignment readingOrder="0" shrinkToFit="0" wrapText="1"/>
    </xf>
    <xf borderId="0" fillId="10" fontId="4" numFmtId="0" xfId="0" applyAlignment="1" applyFont="1">
      <alignment horizontal="right" shrinkToFit="0" vertical="top" wrapText="1"/>
    </xf>
    <xf borderId="0" fillId="10" fontId="4" numFmtId="0" xfId="0" applyAlignment="1" applyFont="1">
      <alignment shrinkToFit="0" vertical="top" wrapText="1"/>
    </xf>
    <xf borderId="0" fillId="10" fontId="4" numFmtId="0" xfId="0" applyAlignment="1" applyFont="1">
      <alignment vertical="top"/>
    </xf>
    <xf borderId="1" fillId="6" fontId="5" numFmtId="0" xfId="0" applyAlignment="1" applyBorder="1" applyFont="1">
      <alignment readingOrder="0" shrinkToFit="0" wrapText="1"/>
    </xf>
    <xf borderId="2" fillId="6" fontId="6" numFmtId="0" xfId="0" applyAlignment="1" applyBorder="1" applyFont="1">
      <alignment readingOrder="0" shrinkToFit="0" wrapText="1"/>
    </xf>
    <xf borderId="5" fillId="6" fontId="6" numFmtId="0" xfId="0" applyAlignment="1" applyBorder="1" applyFont="1">
      <alignment readingOrder="0" shrinkToFit="0" wrapText="1"/>
    </xf>
    <xf borderId="7" fillId="6" fontId="4" numFmtId="0" xfId="0" applyAlignment="1" applyBorder="1" applyFont="1">
      <alignment shrinkToFit="0" vertical="top" wrapText="1"/>
    </xf>
    <xf borderId="7" fillId="6" fontId="4" numFmtId="0" xfId="0" applyAlignment="1" applyBorder="1" applyFont="1">
      <alignment shrinkToFit="0" vertical="top" wrapText="1"/>
    </xf>
    <xf borderId="0" fillId="10" fontId="2" numFmtId="0" xfId="0" applyAlignment="1" applyFont="1">
      <alignment readingOrder="0" shrinkToFit="0" wrapText="1"/>
    </xf>
    <xf borderId="18" fillId="10" fontId="14" numFmtId="0" xfId="0" applyAlignment="1" applyBorder="1" applyFont="1">
      <alignment readingOrder="0" shrinkToFit="0" wrapText="1"/>
    </xf>
    <xf borderId="0" fillId="10" fontId="5" numFmtId="0" xfId="0" applyAlignment="1" applyFont="1">
      <alignment readingOrder="0" shrinkToFit="0" wrapText="1"/>
    </xf>
    <xf borderId="1" fillId="10" fontId="5" numFmtId="0" xfId="0" applyAlignment="1" applyBorder="1" applyFont="1">
      <alignment readingOrder="0" shrinkToFit="0" wrapText="1"/>
    </xf>
    <xf borderId="2" fillId="10" fontId="6" numFmtId="0" xfId="0" applyAlignment="1" applyBorder="1" applyFont="1">
      <alignment readingOrder="0" shrinkToFit="0" wrapText="1"/>
    </xf>
    <xf borderId="0" fillId="10" fontId="5" numFmtId="0" xfId="0" applyAlignment="1" applyFont="1">
      <alignment readingOrder="0" shrinkToFit="0" vertical="top" wrapText="1"/>
    </xf>
    <xf borderId="4" fillId="10" fontId="5" numFmtId="0" xfId="0" applyAlignment="1" applyBorder="1" applyFont="1">
      <alignment readingOrder="0" shrinkToFit="0" vertical="top" wrapText="1"/>
    </xf>
    <xf borderId="5" fillId="10" fontId="6" numFmtId="0" xfId="0" applyAlignment="1" applyBorder="1" applyFont="1">
      <alignment readingOrder="0" shrinkToFit="0" wrapText="1"/>
    </xf>
    <xf borderId="7" fillId="1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12.38"/>
    <col customWidth="1" min="3" max="3" width="14.63"/>
    <col customWidth="1" min="4" max="4" width="27.88"/>
    <col customWidth="1" min="5" max="5" width="51.0"/>
    <col customWidth="1" min="6" max="6" width="12.88"/>
    <col customWidth="1" min="7" max="7" width="15.88"/>
    <col customWidth="1" min="8" max="8" width="15.0"/>
    <col customWidth="1" min="9" max="9" width="16.25"/>
    <col customWidth="1" min="10" max="10" width="32.13"/>
    <col customWidth="1" min="11" max="12" width="26.88"/>
    <col customWidth="1" min="16" max="16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5" t="s">
        <v>16</v>
      </c>
      <c r="F2" s="6"/>
      <c r="G2" s="6"/>
      <c r="H2" s="6"/>
      <c r="I2" s="6"/>
      <c r="J2" s="6"/>
      <c r="K2" s="6"/>
      <c r="L2" s="6"/>
      <c r="M2" s="7"/>
      <c r="N2" s="7"/>
      <c r="O2" s="7"/>
      <c r="P2" s="8"/>
      <c r="Q2" s="9" t="s">
        <v>17</v>
      </c>
      <c r="R2" s="9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1"/>
      <c r="B3" s="12" t="s">
        <v>18</v>
      </c>
      <c r="C3" s="13" t="s">
        <v>19</v>
      </c>
      <c r="D3" s="14"/>
      <c r="E3" s="14"/>
      <c r="F3" s="14"/>
      <c r="G3" s="15"/>
      <c r="H3" s="16"/>
      <c r="I3" s="16"/>
      <c r="J3" s="16"/>
      <c r="K3" s="16"/>
      <c r="L3" s="16"/>
      <c r="M3" s="17"/>
      <c r="N3" s="17"/>
      <c r="O3" s="17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11"/>
      <c r="B4" s="18" t="s">
        <v>20</v>
      </c>
      <c r="C4" s="19" t="s">
        <v>21</v>
      </c>
      <c r="D4" s="20"/>
      <c r="E4" s="20"/>
      <c r="F4" s="20"/>
      <c r="G4" s="21"/>
      <c r="H4" s="16"/>
      <c r="I4" s="16"/>
      <c r="J4" s="16"/>
      <c r="K4" s="16"/>
      <c r="L4" s="16"/>
      <c r="M4" s="17"/>
      <c r="N4" s="17"/>
      <c r="O4" s="1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22">
        <v>1.0</v>
      </c>
      <c r="B5" s="23" t="s">
        <v>22</v>
      </c>
      <c r="C5" s="24" t="s">
        <v>23</v>
      </c>
      <c r="D5" s="24" t="s">
        <v>24</v>
      </c>
      <c r="E5" s="24" t="s">
        <v>25</v>
      </c>
      <c r="F5" s="25" t="s">
        <v>26</v>
      </c>
      <c r="G5" s="25" t="s">
        <v>27</v>
      </c>
      <c r="H5" s="25" t="s">
        <v>28</v>
      </c>
      <c r="I5" s="25" t="s">
        <v>29</v>
      </c>
      <c r="J5" s="25" t="s">
        <v>30</v>
      </c>
      <c r="K5" s="25" t="s">
        <v>31</v>
      </c>
      <c r="L5" s="25" t="s">
        <v>32</v>
      </c>
      <c r="M5" s="26">
        <f t="shared" ref="M5:M11" si="1">N5/8</f>
        <v>3</v>
      </c>
      <c r="N5" s="27">
        <v>24.0</v>
      </c>
      <c r="O5" s="17"/>
      <c r="P5" s="9" t="s">
        <v>33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22">
        <v>2.0</v>
      </c>
      <c r="B6" s="23" t="s">
        <v>22</v>
      </c>
      <c r="C6" s="24" t="s">
        <v>34</v>
      </c>
      <c r="D6" s="24" t="s">
        <v>35</v>
      </c>
      <c r="E6" s="24" t="s">
        <v>36</v>
      </c>
      <c r="F6" s="25" t="s">
        <v>26</v>
      </c>
      <c r="G6" s="25" t="s">
        <v>37</v>
      </c>
      <c r="H6" s="25" t="s">
        <v>28</v>
      </c>
      <c r="I6" s="25" t="s">
        <v>29</v>
      </c>
      <c r="J6" s="25" t="s">
        <v>38</v>
      </c>
      <c r="K6" s="25" t="s">
        <v>39</v>
      </c>
      <c r="L6" s="25" t="s">
        <v>40</v>
      </c>
      <c r="M6" s="26">
        <f t="shared" si="1"/>
        <v>3</v>
      </c>
      <c r="N6" s="27">
        <v>24.0</v>
      </c>
      <c r="O6" s="10"/>
      <c r="P6" s="9" t="s">
        <v>41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22">
        <v>3.0</v>
      </c>
      <c r="B7" s="23" t="s">
        <v>22</v>
      </c>
      <c r="C7" s="24" t="s">
        <v>37</v>
      </c>
      <c r="D7" s="24" t="s">
        <v>42</v>
      </c>
      <c r="E7" s="24" t="s">
        <v>43</v>
      </c>
      <c r="F7" s="25" t="s">
        <v>44</v>
      </c>
      <c r="G7" s="25" t="s">
        <v>37</v>
      </c>
      <c r="H7" s="25" t="s">
        <v>28</v>
      </c>
      <c r="I7" s="25" t="s">
        <v>45</v>
      </c>
      <c r="J7" s="28" t="s">
        <v>46</v>
      </c>
      <c r="K7" s="25" t="s">
        <v>47</v>
      </c>
      <c r="L7" s="25" t="s">
        <v>48</v>
      </c>
      <c r="M7" s="26">
        <f t="shared" si="1"/>
        <v>2</v>
      </c>
      <c r="N7" s="27">
        <v>16.0</v>
      </c>
      <c r="O7" s="10"/>
      <c r="P7" s="9" t="s">
        <v>49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2">
        <v>4.0</v>
      </c>
      <c r="B8" s="23" t="s">
        <v>22</v>
      </c>
      <c r="C8" s="24" t="s">
        <v>50</v>
      </c>
      <c r="D8" s="24" t="s">
        <v>51</v>
      </c>
      <c r="E8" s="24" t="s">
        <v>52</v>
      </c>
      <c r="F8" s="25" t="s">
        <v>26</v>
      </c>
      <c r="G8" s="25" t="s">
        <v>53</v>
      </c>
      <c r="H8" s="25" t="s">
        <v>54</v>
      </c>
      <c r="I8" s="25" t="s">
        <v>45</v>
      </c>
      <c r="J8" s="25" t="s">
        <v>55</v>
      </c>
      <c r="K8" s="25" t="s">
        <v>56</v>
      </c>
      <c r="L8" s="25" t="s">
        <v>57</v>
      </c>
      <c r="M8" s="26">
        <f t="shared" si="1"/>
        <v>2.5</v>
      </c>
      <c r="N8" s="27">
        <v>20.0</v>
      </c>
      <c r="O8" s="29"/>
      <c r="P8" s="9" t="s">
        <v>58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22">
        <v>5.0</v>
      </c>
      <c r="B9" s="23" t="s">
        <v>22</v>
      </c>
      <c r="C9" s="24" t="s">
        <v>59</v>
      </c>
      <c r="D9" s="24" t="s">
        <v>60</v>
      </c>
      <c r="E9" s="24" t="s">
        <v>61</v>
      </c>
      <c r="F9" s="25" t="s">
        <v>44</v>
      </c>
      <c r="G9" s="25" t="s">
        <v>37</v>
      </c>
      <c r="H9" s="25" t="s">
        <v>62</v>
      </c>
      <c r="I9" s="25" t="s">
        <v>45</v>
      </c>
      <c r="J9" s="25" t="s">
        <v>63</v>
      </c>
      <c r="K9" s="25" t="s">
        <v>64</v>
      </c>
      <c r="L9" s="25" t="s">
        <v>65</v>
      </c>
      <c r="M9" s="26">
        <f t="shared" si="1"/>
        <v>2.5</v>
      </c>
      <c r="N9" s="27">
        <v>20.0</v>
      </c>
      <c r="O9" s="10"/>
      <c r="P9" s="9" t="s">
        <v>66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2">
        <v>6.0</v>
      </c>
      <c r="B10" s="23" t="s">
        <v>22</v>
      </c>
      <c r="C10" s="24" t="s">
        <v>67</v>
      </c>
      <c r="D10" s="24" t="s">
        <v>68</v>
      </c>
      <c r="E10" s="24" t="s">
        <v>69</v>
      </c>
      <c r="F10" s="25" t="s">
        <v>26</v>
      </c>
      <c r="G10" s="25" t="s">
        <v>27</v>
      </c>
      <c r="H10" s="25" t="s">
        <v>54</v>
      </c>
      <c r="I10" s="25" t="s">
        <v>29</v>
      </c>
      <c r="J10" s="25" t="s">
        <v>70</v>
      </c>
      <c r="K10" s="25" t="s">
        <v>71</v>
      </c>
      <c r="L10" s="25" t="s">
        <v>72</v>
      </c>
      <c r="M10" s="26">
        <f t="shared" si="1"/>
        <v>2</v>
      </c>
      <c r="N10" s="27">
        <v>16.0</v>
      </c>
      <c r="O10" s="29"/>
      <c r="P10" s="9" t="s">
        <v>73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22">
        <v>7.0</v>
      </c>
      <c r="B11" s="23" t="s">
        <v>22</v>
      </c>
      <c r="C11" s="24" t="s">
        <v>74</v>
      </c>
      <c r="D11" s="24" t="s">
        <v>75</v>
      </c>
      <c r="E11" s="24" t="s">
        <v>76</v>
      </c>
      <c r="F11" s="25" t="s">
        <v>26</v>
      </c>
      <c r="G11" s="25" t="s">
        <v>53</v>
      </c>
      <c r="H11" s="25" t="s">
        <v>62</v>
      </c>
      <c r="I11" s="25" t="s">
        <v>45</v>
      </c>
      <c r="J11" s="25" t="s">
        <v>77</v>
      </c>
      <c r="K11" s="25" t="s">
        <v>78</v>
      </c>
      <c r="L11" s="25" t="s">
        <v>79</v>
      </c>
      <c r="M11" s="26">
        <f t="shared" si="1"/>
        <v>3</v>
      </c>
      <c r="N11" s="27">
        <v>24.0</v>
      </c>
      <c r="O11" s="29"/>
      <c r="P11" s="9" t="s">
        <v>80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0"/>
      <c r="B12" s="10"/>
      <c r="C12" s="10"/>
      <c r="D12" s="10"/>
      <c r="E12" s="10"/>
      <c r="G12" s="10"/>
      <c r="H12" s="10"/>
      <c r="I12" s="10"/>
      <c r="J12" s="10"/>
      <c r="L12" s="30" t="s">
        <v>81</v>
      </c>
      <c r="M12" s="31">
        <f t="shared" ref="M12:N12" si="2">SUM(M5:M11)</f>
        <v>18</v>
      </c>
      <c r="N12" s="32">
        <f t="shared" si="2"/>
        <v>144</v>
      </c>
      <c r="O12" s="33">
        <f>$R$1*N12</f>
        <v>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34"/>
      <c r="B13" s="35" t="s">
        <v>82</v>
      </c>
      <c r="C13" s="36" t="s">
        <v>83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8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0"/>
      <c r="B14" s="10"/>
      <c r="C14" s="39" t="s">
        <v>84</v>
      </c>
      <c r="P14" s="4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0"/>
      <c r="B15" s="10"/>
      <c r="C15" s="39" t="s">
        <v>85</v>
      </c>
      <c r="P15" s="4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0"/>
      <c r="B16" s="10"/>
      <c r="C16" s="39" t="s">
        <v>86</v>
      </c>
      <c r="P16" s="4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10"/>
      <c r="B17" s="10"/>
      <c r="C17" s="39" t="s">
        <v>87</v>
      </c>
      <c r="P17" s="4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10"/>
      <c r="B18" s="10"/>
      <c r="C18" s="41" t="s">
        <v>88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44"/>
      <c r="B20" s="45" t="s">
        <v>89</v>
      </c>
      <c r="C20" s="46"/>
      <c r="D20" s="46"/>
      <c r="E20" s="47"/>
      <c r="F20" s="48"/>
      <c r="G20" s="48"/>
      <c r="H20" s="48"/>
      <c r="I20" s="48"/>
      <c r="J20" s="48"/>
      <c r="K20" s="48"/>
      <c r="L20" s="48"/>
      <c r="M20" s="49"/>
      <c r="N20" s="49"/>
      <c r="O20" s="49"/>
      <c r="P20" s="5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51"/>
      <c r="B21" s="52" t="s">
        <v>18</v>
      </c>
      <c r="C21" s="53" t="s">
        <v>90</v>
      </c>
      <c r="D21" s="54"/>
      <c r="E21" s="55"/>
      <c r="F21" s="16"/>
      <c r="G21" s="16"/>
      <c r="H21" s="16"/>
      <c r="I21" s="16"/>
      <c r="J21" s="16"/>
      <c r="K21" s="16"/>
      <c r="L21" s="16"/>
      <c r="M21" s="17"/>
      <c r="N21" s="17"/>
      <c r="O21" s="17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56"/>
      <c r="B22" s="57" t="s">
        <v>91</v>
      </c>
      <c r="C22" s="58" t="s">
        <v>92</v>
      </c>
      <c r="D22" s="59"/>
      <c r="E22" s="60"/>
      <c r="F22" s="16"/>
      <c r="G22" s="16"/>
      <c r="H22" s="16"/>
      <c r="I22" s="16"/>
      <c r="J22" s="16"/>
      <c r="K22" s="16"/>
      <c r="L22" s="16"/>
      <c r="M22" s="17"/>
      <c r="N22" s="17"/>
      <c r="O22" s="17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22">
        <v>1.0</v>
      </c>
      <c r="B23" s="61" t="s">
        <v>93</v>
      </c>
      <c r="C23" s="9" t="s">
        <v>94</v>
      </c>
      <c r="D23" s="9" t="s">
        <v>95</v>
      </c>
      <c r="E23" s="9" t="s">
        <v>96</v>
      </c>
      <c r="F23" s="9" t="s">
        <v>97</v>
      </c>
      <c r="G23" s="9" t="s">
        <v>53</v>
      </c>
      <c r="H23" s="9" t="s">
        <v>28</v>
      </c>
      <c r="I23" s="9" t="s">
        <v>45</v>
      </c>
      <c r="J23" s="9" t="s">
        <v>98</v>
      </c>
      <c r="K23" s="9" t="s">
        <v>99</v>
      </c>
      <c r="L23" s="9" t="s">
        <v>100</v>
      </c>
      <c r="M23" s="26">
        <f t="shared" ref="M23:M30" si="3">N23/8</f>
        <v>2.5</v>
      </c>
      <c r="N23" s="27">
        <v>20.0</v>
      </c>
      <c r="O23" s="29"/>
      <c r="P23" s="62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22">
        <v>2.0</v>
      </c>
      <c r="B24" s="61" t="s">
        <v>93</v>
      </c>
      <c r="C24" s="9" t="s">
        <v>101</v>
      </c>
      <c r="D24" s="9" t="s">
        <v>102</v>
      </c>
      <c r="E24" s="9" t="s">
        <v>103</v>
      </c>
      <c r="F24" s="9" t="s">
        <v>97</v>
      </c>
      <c r="G24" s="9" t="s">
        <v>53</v>
      </c>
      <c r="H24" s="9" t="s">
        <v>62</v>
      </c>
      <c r="I24" s="9" t="s">
        <v>104</v>
      </c>
      <c r="J24" s="9" t="s">
        <v>105</v>
      </c>
      <c r="K24" s="9" t="s">
        <v>106</v>
      </c>
      <c r="L24" s="9" t="s">
        <v>107</v>
      </c>
      <c r="M24" s="26">
        <f t="shared" si="3"/>
        <v>1.5</v>
      </c>
      <c r="N24" s="27">
        <v>12.0</v>
      </c>
      <c r="O24" s="29"/>
      <c r="P24" s="62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22">
        <v>3.0</v>
      </c>
      <c r="B25" s="61" t="s">
        <v>93</v>
      </c>
      <c r="C25" s="9" t="s">
        <v>34</v>
      </c>
      <c r="D25" s="9" t="s">
        <v>108</v>
      </c>
      <c r="E25" s="9" t="s">
        <v>109</v>
      </c>
      <c r="F25" s="9" t="s">
        <v>97</v>
      </c>
      <c r="G25" s="9" t="s">
        <v>53</v>
      </c>
      <c r="H25" s="9" t="s">
        <v>54</v>
      </c>
      <c r="I25" s="9" t="s">
        <v>45</v>
      </c>
      <c r="J25" s="9" t="s">
        <v>110</v>
      </c>
      <c r="K25" s="9" t="s">
        <v>111</v>
      </c>
      <c r="L25" s="9" t="s">
        <v>112</v>
      </c>
      <c r="M25" s="26">
        <f t="shared" si="3"/>
        <v>2.25</v>
      </c>
      <c r="N25" s="27">
        <v>18.0</v>
      </c>
      <c r="O25" s="29"/>
      <c r="P25" s="62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22">
        <v>4.0</v>
      </c>
      <c r="B26" s="61" t="s">
        <v>93</v>
      </c>
      <c r="C26" s="9" t="s">
        <v>34</v>
      </c>
      <c r="D26" s="9" t="s">
        <v>113</v>
      </c>
      <c r="E26" s="9" t="s">
        <v>114</v>
      </c>
      <c r="F26" s="9" t="s">
        <v>97</v>
      </c>
      <c r="G26" s="9" t="s">
        <v>53</v>
      </c>
      <c r="H26" s="9" t="s">
        <v>28</v>
      </c>
      <c r="I26" s="9" t="s">
        <v>29</v>
      </c>
      <c r="J26" s="9" t="s">
        <v>115</v>
      </c>
      <c r="K26" s="9" t="s">
        <v>116</v>
      </c>
      <c r="L26" s="9" t="s">
        <v>117</v>
      </c>
      <c r="M26" s="26">
        <f t="shared" si="3"/>
        <v>3</v>
      </c>
      <c r="N26" s="27">
        <v>24.0</v>
      </c>
      <c r="O26" s="29"/>
      <c r="P26" s="63" t="s">
        <v>118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22">
        <v>5.0</v>
      </c>
      <c r="B27" s="61" t="s">
        <v>93</v>
      </c>
      <c r="C27" s="9" t="s">
        <v>119</v>
      </c>
      <c r="D27" s="9" t="s">
        <v>120</v>
      </c>
      <c r="E27" s="9" t="s">
        <v>121</v>
      </c>
      <c r="F27" s="9" t="s">
        <v>97</v>
      </c>
      <c r="G27" s="9" t="s">
        <v>53</v>
      </c>
      <c r="H27" s="9" t="s">
        <v>28</v>
      </c>
      <c r="I27" s="9" t="s">
        <v>45</v>
      </c>
      <c r="J27" s="9" t="s">
        <v>122</v>
      </c>
      <c r="K27" s="9" t="s">
        <v>123</v>
      </c>
      <c r="L27" s="9" t="s">
        <v>124</v>
      </c>
      <c r="M27" s="26">
        <f t="shared" si="3"/>
        <v>3</v>
      </c>
      <c r="N27" s="27">
        <v>24.0</v>
      </c>
      <c r="O27" s="29"/>
      <c r="P27" s="62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22">
        <v>6.0</v>
      </c>
      <c r="B28" s="61" t="s">
        <v>93</v>
      </c>
      <c r="C28" s="64" t="s">
        <v>125</v>
      </c>
      <c r="D28" s="64" t="s">
        <v>126</v>
      </c>
      <c r="E28" s="64" t="s">
        <v>127</v>
      </c>
      <c r="F28" s="64" t="s">
        <v>97</v>
      </c>
      <c r="G28" s="64" t="s">
        <v>37</v>
      </c>
      <c r="H28" s="64" t="s">
        <v>28</v>
      </c>
      <c r="I28" s="64" t="s">
        <v>45</v>
      </c>
      <c r="J28" s="64" t="s">
        <v>128</v>
      </c>
      <c r="K28" s="65" t="s">
        <v>129</v>
      </c>
      <c r="L28" s="64" t="s">
        <v>130</v>
      </c>
      <c r="M28" s="26">
        <f t="shared" si="3"/>
        <v>2</v>
      </c>
      <c r="N28" s="27">
        <v>16.0</v>
      </c>
      <c r="O28" s="66"/>
      <c r="P28" s="6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22">
        <v>7.0</v>
      </c>
      <c r="B29" s="61" t="s">
        <v>93</v>
      </c>
      <c r="C29" s="64" t="s">
        <v>34</v>
      </c>
      <c r="D29" s="64" t="s">
        <v>131</v>
      </c>
      <c r="E29" s="64" t="s">
        <v>132</v>
      </c>
      <c r="F29" s="64" t="s">
        <v>97</v>
      </c>
      <c r="G29" s="64" t="s">
        <v>53</v>
      </c>
      <c r="H29" s="64" t="s">
        <v>54</v>
      </c>
      <c r="I29" s="64" t="s">
        <v>29</v>
      </c>
      <c r="J29" s="64" t="s">
        <v>133</v>
      </c>
      <c r="K29" s="65" t="s">
        <v>134</v>
      </c>
      <c r="L29" s="64" t="s">
        <v>135</v>
      </c>
      <c r="M29" s="26">
        <f t="shared" si="3"/>
        <v>3</v>
      </c>
      <c r="N29" s="27">
        <v>24.0</v>
      </c>
      <c r="O29" s="66"/>
      <c r="P29" s="63" t="s">
        <v>136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22">
        <v>8.0</v>
      </c>
      <c r="B30" s="61" t="s">
        <v>93</v>
      </c>
      <c r="C30" s="64" t="s">
        <v>137</v>
      </c>
      <c r="D30" s="64" t="s">
        <v>138</v>
      </c>
      <c r="E30" s="64" t="s">
        <v>139</v>
      </c>
      <c r="F30" s="64" t="s">
        <v>97</v>
      </c>
      <c r="G30" s="64" t="s">
        <v>53</v>
      </c>
      <c r="H30" s="64" t="s">
        <v>54</v>
      </c>
      <c r="I30" s="64" t="s">
        <v>104</v>
      </c>
      <c r="J30" s="64" t="s">
        <v>140</v>
      </c>
      <c r="K30" s="64" t="s">
        <v>141</v>
      </c>
      <c r="L30" s="24"/>
      <c r="M30" s="26">
        <f t="shared" si="3"/>
        <v>1.5</v>
      </c>
      <c r="N30" s="27">
        <v>12.0</v>
      </c>
      <c r="O30" s="29"/>
      <c r="P30" s="62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67" t="s">
        <v>142</v>
      </c>
      <c r="L31" s="67"/>
      <c r="M31" s="68">
        <f t="shared" ref="M31:N31" si="4">SUM(M23:M30)</f>
        <v>18.75</v>
      </c>
      <c r="N31" s="69">
        <f t="shared" si="4"/>
        <v>150</v>
      </c>
      <c r="O31" s="10">
        <f>R2*N31</f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34"/>
      <c r="B32" s="35" t="s">
        <v>82</v>
      </c>
      <c r="C32" s="36" t="s">
        <v>143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10"/>
      <c r="B33" s="10"/>
      <c r="C33" s="39" t="s">
        <v>144</v>
      </c>
      <c r="P33" s="4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10"/>
      <c r="B34" s="10"/>
      <c r="C34" s="39" t="s">
        <v>145</v>
      </c>
      <c r="P34" s="4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0"/>
      <c r="B35" s="10"/>
      <c r="C35" s="39" t="s">
        <v>146</v>
      </c>
      <c r="P35" s="4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0"/>
      <c r="B36" s="10"/>
      <c r="C36" s="41" t="s">
        <v>147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3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0"/>
      <c r="B37" s="10"/>
      <c r="C37" s="9"/>
      <c r="D37" s="9"/>
      <c r="E37" s="9"/>
      <c r="F37" s="10"/>
      <c r="G37" s="10"/>
      <c r="H37" s="10"/>
      <c r="I37" s="10"/>
      <c r="J37" s="10"/>
      <c r="K37" s="10"/>
      <c r="L37" s="10"/>
      <c r="M37" s="10"/>
      <c r="N37" s="17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70"/>
      <c r="B38" s="71" t="s">
        <v>148</v>
      </c>
      <c r="C38" s="46"/>
      <c r="D38" s="46"/>
      <c r="E38" s="47"/>
      <c r="F38" s="72"/>
      <c r="G38" s="72"/>
      <c r="H38" s="72"/>
      <c r="I38" s="72"/>
      <c r="J38" s="72"/>
      <c r="K38" s="72"/>
      <c r="L38" s="72"/>
      <c r="M38" s="73"/>
      <c r="N38" s="73"/>
      <c r="O38" s="73"/>
      <c r="P38" s="74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75"/>
      <c r="B39" s="76" t="s">
        <v>18</v>
      </c>
      <c r="C39" s="77" t="s">
        <v>149</v>
      </c>
      <c r="G39" s="78"/>
      <c r="H39" s="16"/>
      <c r="I39" s="16"/>
      <c r="J39" s="16"/>
      <c r="K39" s="16"/>
      <c r="L39" s="16"/>
      <c r="M39" s="17"/>
      <c r="N39" s="17"/>
      <c r="O39" s="17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79"/>
      <c r="B40" s="80" t="s">
        <v>91</v>
      </c>
      <c r="C40" s="81" t="s">
        <v>150</v>
      </c>
      <c r="D40" s="20"/>
      <c r="E40" s="20"/>
      <c r="F40" s="20"/>
      <c r="G40" s="21"/>
      <c r="H40" s="16"/>
      <c r="I40" s="16"/>
      <c r="J40" s="16"/>
      <c r="K40" s="16"/>
      <c r="L40" s="16"/>
      <c r="M40" s="17"/>
      <c r="N40" s="17"/>
      <c r="O40" s="17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22">
        <v>1.0</v>
      </c>
      <c r="B41" s="82" t="s">
        <v>151</v>
      </c>
      <c r="C41" s="9" t="s">
        <v>152</v>
      </c>
      <c r="D41" s="9" t="s">
        <v>153</v>
      </c>
      <c r="E41" s="9" t="s">
        <v>154</v>
      </c>
      <c r="F41" s="9" t="s">
        <v>97</v>
      </c>
      <c r="G41" s="9" t="s">
        <v>53</v>
      </c>
      <c r="H41" s="9" t="s">
        <v>62</v>
      </c>
      <c r="I41" s="9" t="s">
        <v>45</v>
      </c>
      <c r="J41" s="9" t="s">
        <v>155</v>
      </c>
      <c r="K41" s="9" t="s">
        <v>156</v>
      </c>
      <c r="L41" s="9" t="s">
        <v>157</v>
      </c>
      <c r="M41" s="83">
        <v>2.3</v>
      </c>
      <c r="N41" s="84">
        <v>18.0</v>
      </c>
      <c r="O41" s="29"/>
      <c r="P41" s="62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22">
        <v>2.0</v>
      </c>
      <c r="B42" s="82" t="s">
        <v>151</v>
      </c>
      <c r="C42" s="9" t="s">
        <v>158</v>
      </c>
      <c r="D42" s="9" t="s">
        <v>159</v>
      </c>
      <c r="E42" s="9" t="s">
        <v>160</v>
      </c>
      <c r="F42" s="9" t="s">
        <v>97</v>
      </c>
      <c r="G42" s="9" t="s">
        <v>53</v>
      </c>
      <c r="H42" s="9" t="s">
        <v>62</v>
      </c>
      <c r="I42" s="9" t="s">
        <v>29</v>
      </c>
      <c r="J42" s="9" t="s">
        <v>161</v>
      </c>
      <c r="K42" s="9" t="s">
        <v>162</v>
      </c>
      <c r="L42" s="9" t="s">
        <v>163</v>
      </c>
      <c r="M42" s="83">
        <v>4.8</v>
      </c>
      <c r="N42" s="84">
        <v>38.0</v>
      </c>
      <c r="O42" s="29"/>
      <c r="P42" s="63" t="s">
        <v>164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22">
        <v>3.0</v>
      </c>
      <c r="B43" s="82" t="s">
        <v>151</v>
      </c>
      <c r="C43" s="9" t="s">
        <v>165</v>
      </c>
      <c r="D43" s="9" t="s">
        <v>166</v>
      </c>
      <c r="E43" s="9" t="s">
        <v>167</v>
      </c>
      <c r="F43" s="9" t="s">
        <v>97</v>
      </c>
      <c r="G43" s="9" t="s">
        <v>53</v>
      </c>
      <c r="H43" s="9" t="s">
        <v>62</v>
      </c>
      <c r="I43" s="9" t="s">
        <v>45</v>
      </c>
      <c r="J43" s="9" t="s">
        <v>168</v>
      </c>
      <c r="K43" s="9" t="s">
        <v>169</v>
      </c>
      <c r="L43" s="9" t="s">
        <v>170</v>
      </c>
      <c r="M43" s="83">
        <v>2.0</v>
      </c>
      <c r="N43" s="84">
        <v>16.0</v>
      </c>
      <c r="O43" s="29"/>
      <c r="P43" s="63" t="s">
        <v>171</v>
      </c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</row>
    <row r="44">
      <c r="A44" s="22">
        <v>4.0</v>
      </c>
      <c r="B44" s="82" t="s">
        <v>151</v>
      </c>
      <c r="C44" s="9" t="s">
        <v>172</v>
      </c>
      <c r="D44" s="9" t="s">
        <v>173</v>
      </c>
      <c r="E44" s="9" t="s">
        <v>174</v>
      </c>
      <c r="F44" s="9" t="s">
        <v>97</v>
      </c>
      <c r="G44" s="9" t="s">
        <v>53</v>
      </c>
      <c r="H44" s="9" t="s">
        <v>62</v>
      </c>
      <c r="I44" s="9" t="s">
        <v>29</v>
      </c>
      <c r="J44" s="9" t="s">
        <v>175</v>
      </c>
      <c r="K44" s="9" t="s">
        <v>176</v>
      </c>
      <c r="L44" s="9" t="s">
        <v>177</v>
      </c>
      <c r="M44" s="83">
        <v>3.3</v>
      </c>
      <c r="N44" s="84">
        <v>26.0</v>
      </c>
      <c r="O44" s="29"/>
      <c r="P44" s="63" t="s">
        <v>178</v>
      </c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</row>
    <row r="45">
      <c r="A45" s="22">
        <v>5.0</v>
      </c>
      <c r="B45" s="82" t="s">
        <v>151</v>
      </c>
      <c r="C45" s="9" t="s">
        <v>179</v>
      </c>
      <c r="D45" s="9" t="s">
        <v>180</v>
      </c>
      <c r="E45" s="9" t="s">
        <v>181</v>
      </c>
      <c r="F45" s="9" t="s">
        <v>97</v>
      </c>
      <c r="G45" s="9" t="s">
        <v>53</v>
      </c>
      <c r="H45" s="9" t="s">
        <v>62</v>
      </c>
      <c r="I45" s="9" t="s">
        <v>29</v>
      </c>
      <c r="J45" s="9" t="s">
        <v>182</v>
      </c>
      <c r="K45" s="9" t="s">
        <v>183</v>
      </c>
      <c r="L45" s="9" t="s">
        <v>184</v>
      </c>
      <c r="M45" s="83">
        <v>5.0</v>
      </c>
      <c r="N45" s="84">
        <v>40.0</v>
      </c>
      <c r="O45" s="29"/>
      <c r="P45" s="63" t="s">
        <v>185</v>
      </c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</row>
    <row r="46">
      <c r="A46" s="22">
        <v>6.0</v>
      </c>
      <c r="B46" s="82" t="s">
        <v>151</v>
      </c>
      <c r="C46" s="9" t="s">
        <v>186</v>
      </c>
      <c r="D46" s="9" t="s">
        <v>187</v>
      </c>
      <c r="E46" s="9" t="s">
        <v>188</v>
      </c>
      <c r="F46" s="9" t="s">
        <v>189</v>
      </c>
      <c r="G46" s="9" t="s">
        <v>53</v>
      </c>
      <c r="H46" s="9" t="s">
        <v>54</v>
      </c>
      <c r="I46" s="9" t="s">
        <v>45</v>
      </c>
      <c r="J46" s="9" t="s">
        <v>190</v>
      </c>
      <c r="K46" s="9" t="s">
        <v>191</v>
      </c>
      <c r="L46" s="9" t="s">
        <v>192</v>
      </c>
      <c r="M46" s="83">
        <v>2.3</v>
      </c>
      <c r="N46" s="84">
        <v>18.0</v>
      </c>
      <c r="O46" s="29"/>
      <c r="P46" s="63" t="s">
        <v>193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</row>
    <row r="47">
      <c r="A47" s="22">
        <v>7.0</v>
      </c>
      <c r="B47" s="82" t="s">
        <v>151</v>
      </c>
      <c r="C47" s="9" t="s">
        <v>194</v>
      </c>
      <c r="D47" s="9" t="s">
        <v>195</v>
      </c>
      <c r="E47" s="9" t="s">
        <v>196</v>
      </c>
      <c r="F47" s="9" t="s">
        <v>97</v>
      </c>
      <c r="G47" s="9" t="s">
        <v>27</v>
      </c>
      <c r="H47" s="9" t="s">
        <v>54</v>
      </c>
      <c r="I47" s="9" t="s">
        <v>45</v>
      </c>
      <c r="J47" s="9" t="s">
        <v>197</v>
      </c>
      <c r="K47" s="9" t="s">
        <v>198</v>
      </c>
      <c r="L47" s="9" t="s">
        <v>199</v>
      </c>
      <c r="M47" s="83">
        <v>2.0</v>
      </c>
      <c r="N47" s="84">
        <v>16.0</v>
      </c>
      <c r="O47" s="29"/>
      <c r="P47" s="63" t="s">
        <v>200</v>
      </c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</row>
    <row r="48">
      <c r="A48" s="22">
        <v>8.0</v>
      </c>
      <c r="B48" s="82" t="s">
        <v>151</v>
      </c>
      <c r="C48" s="9" t="s">
        <v>201</v>
      </c>
      <c r="D48" s="9" t="s">
        <v>202</v>
      </c>
      <c r="E48" s="9" t="s">
        <v>203</v>
      </c>
      <c r="F48" s="9" t="s">
        <v>97</v>
      </c>
      <c r="G48" s="9" t="s">
        <v>27</v>
      </c>
      <c r="H48" s="9" t="s">
        <v>28</v>
      </c>
      <c r="I48" s="9" t="s">
        <v>104</v>
      </c>
      <c r="J48" s="9" t="s">
        <v>204</v>
      </c>
      <c r="K48" s="9" t="s">
        <v>205</v>
      </c>
      <c r="L48" s="9" t="s">
        <v>206</v>
      </c>
      <c r="M48" s="83">
        <v>1.5</v>
      </c>
      <c r="N48" s="84">
        <v>12.0</v>
      </c>
      <c r="O48" s="29"/>
      <c r="P48" s="62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67" t="s">
        <v>142</v>
      </c>
      <c r="L49" s="67"/>
      <c r="M49" s="86">
        <f t="shared" ref="M49:N49" si="5">SUM(M41:M48)</f>
        <v>23.2</v>
      </c>
      <c r="N49" s="87">
        <f t="shared" si="5"/>
        <v>184</v>
      </c>
      <c r="O49" s="85">
        <f>R2*N49</f>
        <v>0</v>
      </c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</row>
    <row r="50">
      <c r="A50" s="34"/>
      <c r="B50" s="88" t="s">
        <v>82</v>
      </c>
      <c r="C50" s="36" t="s">
        <v>207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8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</row>
    <row r="51">
      <c r="A51" s="10"/>
      <c r="B51" s="10"/>
      <c r="C51" s="39" t="s">
        <v>208</v>
      </c>
      <c r="P51" s="40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</row>
    <row r="52">
      <c r="A52" s="10"/>
      <c r="B52" s="10"/>
      <c r="C52" s="39" t="s">
        <v>209</v>
      </c>
      <c r="P52" s="40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</row>
    <row r="53">
      <c r="A53" s="10"/>
      <c r="B53" s="10"/>
      <c r="C53" s="39" t="s">
        <v>210</v>
      </c>
      <c r="P53" s="40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</row>
    <row r="54">
      <c r="A54" s="10"/>
      <c r="B54" s="10"/>
      <c r="C54" s="39" t="s">
        <v>211</v>
      </c>
      <c r="P54" s="40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</row>
    <row r="55">
      <c r="A55" s="10"/>
      <c r="B55" s="10"/>
      <c r="C55" s="41" t="s">
        <v>212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3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9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</row>
    <row r="57">
      <c r="A57" s="90"/>
      <c r="B57" s="91" t="s">
        <v>213</v>
      </c>
      <c r="C57" s="46"/>
      <c r="D57" s="46"/>
      <c r="E57" s="47"/>
      <c r="F57" s="92"/>
      <c r="G57" s="92"/>
      <c r="H57" s="92"/>
      <c r="I57" s="92"/>
      <c r="J57" s="92"/>
      <c r="K57" s="92"/>
      <c r="L57" s="92"/>
      <c r="M57" s="93"/>
      <c r="N57" s="93"/>
      <c r="O57" s="93"/>
      <c r="P57" s="94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95"/>
      <c r="B58" s="96" t="s">
        <v>18</v>
      </c>
      <c r="C58" s="97" t="s">
        <v>214</v>
      </c>
      <c r="E58" s="78"/>
      <c r="F58" s="16"/>
      <c r="G58" s="16"/>
      <c r="H58" s="16"/>
      <c r="I58" s="16"/>
      <c r="J58" s="16"/>
      <c r="K58" s="16"/>
      <c r="L58" s="16"/>
      <c r="M58" s="17"/>
      <c r="N58" s="17"/>
      <c r="O58" s="17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98"/>
      <c r="B59" s="99" t="s">
        <v>91</v>
      </c>
      <c r="C59" s="100" t="s">
        <v>215</v>
      </c>
      <c r="D59" s="20"/>
      <c r="E59" s="21"/>
      <c r="F59" s="16"/>
      <c r="G59" s="16"/>
      <c r="H59" s="16"/>
      <c r="I59" s="16"/>
      <c r="J59" s="16"/>
      <c r="K59" s="16"/>
      <c r="L59" s="16"/>
      <c r="M59" s="17"/>
      <c r="N59" s="17"/>
      <c r="O59" s="17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22">
        <v>1.0</v>
      </c>
      <c r="B60" s="101" t="s">
        <v>216</v>
      </c>
      <c r="C60" s="9" t="s">
        <v>217</v>
      </c>
      <c r="D60" s="9" t="s">
        <v>218</v>
      </c>
      <c r="E60" s="9" t="s">
        <v>219</v>
      </c>
      <c r="F60" s="9" t="s">
        <v>97</v>
      </c>
      <c r="G60" s="9" t="s">
        <v>53</v>
      </c>
      <c r="H60" s="9" t="s">
        <v>28</v>
      </c>
      <c r="I60" s="9" t="s">
        <v>45</v>
      </c>
      <c r="J60" s="9" t="s">
        <v>220</v>
      </c>
      <c r="K60" s="24" t="s">
        <v>221</v>
      </c>
      <c r="L60" s="9" t="s">
        <v>222</v>
      </c>
      <c r="M60" s="26">
        <f t="shared" ref="M60:M67" si="6">N60/8</f>
        <v>2</v>
      </c>
      <c r="N60" s="27">
        <v>16.0</v>
      </c>
      <c r="O60" s="29"/>
      <c r="P60" s="62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</row>
    <row r="61">
      <c r="A61" s="22">
        <v>2.0</v>
      </c>
      <c r="B61" s="101" t="s">
        <v>216</v>
      </c>
      <c r="C61" s="9" t="s">
        <v>223</v>
      </c>
      <c r="D61" s="9" t="s">
        <v>224</v>
      </c>
      <c r="E61" s="9" t="s">
        <v>225</v>
      </c>
      <c r="F61" s="9" t="s">
        <v>97</v>
      </c>
      <c r="G61" s="9" t="s">
        <v>53</v>
      </c>
      <c r="H61" s="9" t="s">
        <v>28</v>
      </c>
      <c r="I61" s="9" t="s">
        <v>29</v>
      </c>
      <c r="J61" s="9" t="s">
        <v>226</v>
      </c>
      <c r="K61" s="24" t="s">
        <v>227</v>
      </c>
      <c r="L61" s="9" t="s">
        <v>228</v>
      </c>
      <c r="M61" s="26">
        <f t="shared" si="6"/>
        <v>3</v>
      </c>
      <c r="N61" s="27">
        <v>24.0</v>
      </c>
      <c r="O61" s="29"/>
      <c r="P61" s="63" t="s">
        <v>229</v>
      </c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</row>
    <row r="62">
      <c r="A62" s="22">
        <v>3.0</v>
      </c>
      <c r="B62" s="101" t="s">
        <v>216</v>
      </c>
      <c r="C62" s="9" t="s">
        <v>230</v>
      </c>
      <c r="D62" s="9" t="s">
        <v>231</v>
      </c>
      <c r="E62" s="9" t="s">
        <v>232</v>
      </c>
      <c r="F62" s="9" t="s">
        <v>97</v>
      </c>
      <c r="G62" s="9" t="s">
        <v>53</v>
      </c>
      <c r="H62" s="9" t="s">
        <v>54</v>
      </c>
      <c r="I62" s="9" t="s">
        <v>29</v>
      </c>
      <c r="J62" s="9" t="s">
        <v>233</v>
      </c>
      <c r="K62" s="24" t="s">
        <v>234</v>
      </c>
      <c r="L62" s="9" t="s">
        <v>235</v>
      </c>
      <c r="M62" s="26">
        <f t="shared" si="6"/>
        <v>4.75</v>
      </c>
      <c r="N62" s="27">
        <v>38.0</v>
      </c>
      <c r="O62" s="29"/>
      <c r="P62" s="63" t="s">
        <v>236</v>
      </c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</row>
    <row r="63">
      <c r="A63" s="22">
        <v>4.0</v>
      </c>
      <c r="B63" s="101" t="s">
        <v>216</v>
      </c>
      <c r="C63" s="9" t="s">
        <v>237</v>
      </c>
      <c r="D63" s="9" t="s">
        <v>238</v>
      </c>
      <c r="E63" s="9" t="s">
        <v>239</v>
      </c>
      <c r="F63" s="9" t="s">
        <v>97</v>
      </c>
      <c r="G63" s="9" t="s">
        <v>53</v>
      </c>
      <c r="H63" s="9" t="s">
        <v>54</v>
      </c>
      <c r="I63" s="9" t="s">
        <v>29</v>
      </c>
      <c r="J63" s="9" t="s">
        <v>240</v>
      </c>
      <c r="K63" s="24" t="s">
        <v>241</v>
      </c>
      <c r="L63" s="9" t="s">
        <v>242</v>
      </c>
      <c r="M63" s="26">
        <f t="shared" si="6"/>
        <v>4</v>
      </c>
      <c r="N63" s="27">
        <v>32.0</v>
      </c>
      <c r="O63" s="29"/>
      <c r="P63" s="63" t="s">
        <v>243</v>
      </c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</row>
    <row r="64">
      <c r="A64" s="22">
        <v>5.0</v>
      </c>
      <c r="B64" s="101" t="s">
        <v>216</v>
      </c>
      <c r="C64" s="9" t="s">
        <v>244</v>
      </c>
      <c r="D64" s="9" t="s">
        <v>245</v>
      </c>
      <c r="E64" s="9" t="s">
        <v>246</v>
      </c>
      <c r="F64" s="9" t="s">
        <v>97</v>
      </c>
      <c r="G64" s="9" t="s">
        <v>27</v>
      </c>
      <c r="H64" s="9" t="s">
        <v>28</v>
      </c>
      <c r="I64" s="9" t="s">
        <v>45</v>
      </c>
      <c r="J64" s="9" t="s">
        <v>247</v>
      </c>
      <c r="K64" s="24" t="s">
        <v>248</v>
      </c>
      <c r="L64" s="9" t="s">
        <v>249</v>
      </c>
      <c r="M64" s="26">
        <f t="shared" si="6"/>
        <v>2</v>
      </c>
      <c r="N64" s="27">
        <v>16.0</v>
      </c>
      <c r="O64" s="29"/>
      <c r="P64" s="62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</row>
    <row r="65">
      <c r="A65" s="22">
        <v>6.0</v>
      </c>
      <c r="B65" s="101" t="s">
        <v>216</v>
      </c>
      <c r="C65" s="9" t="s">
        <v>250</v>
      </c>
      <c r="D65" s="9" t="s">
        <v>251</v>
      </c>
      <c r="E65" s="9" t="s">
        <v>252</v>
      </c>
      <c r="F65" s="9" t="s">
        <v>26</v>
      </c>
      <c r="G65" s="9" t="s">
        <v>53</v>
      </c>
      <c r="H65" s="9" t="s">
        <v>28</v>
      </c>
      <c r="I65" s="9" t="s">
        <v>29</v>
      </c>
      <c r="J65" s="9" t="s">
        <v>253</v>
      </c>
      <c r="K65" s="63" t="s">
        <v>254</v>
      </c>
      <c r="L65" s="9" t="s">
        <v>255</v>
      </c>
      <c r="M65" s="26">
        <f t="shared" si="6"/>
        <v>3</v>
      </c>
      <c r="N65" s="27">
        <v>24.0</v>
      </c>
      <c r="O65" s="29"/>
      <c r="P65" s="63" t="s">
        <v>256</v>
      </c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</row>
    <row r="66">
      <c r="A66" s="22">
        <v>7.0</v>
      </c>
      <c r="B66" s="101" t="s">
        <v>216</v>
      </c>
      <c r="C66" s="9" t="s">
        <v>257</v>
      </c>
      <c r="D66" s="9" t="s">
        <v>258</v>
      </c>
      <c r="E66" s="9" t="s">
        <v>259</v>
      </c>
      <c r="F66" s="9" t="s">
        <v>26</v>
      </c>
      <c r="G66" s="9" t="s">
        <v>53</v>
      </c>
      <c r="H66" s="9" t="s">
        <v>62</v>
      </c>
      <c r="I66" s="9" t="s">
        <v>29</v>
      </c>
      <c r="J66" s="9" t="s">
        <v>260</v>
      </c>
      <c r="K66" s="63" t="s">
        <v>261</v>
      </c>
      <c r="L66" s="9" t="s">
        <v>262</v>
      </c>
      <c r="M66" s="26">
        <f t="shared" si="6"/>
        <v>3</v>
      </c>
      <c r="N66" s="27">
        <v>24.0</v>
      </c>
      <c r="O66" s="29"/>
      <c r="P66" s="63" t="s">
        <v>263</v>
      </c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</row>
    <row r="67">
      <c r="A67" s="22">
        <v>8.0</v>
      </c>
      <c r="B67" s="101" t="s">
        <v>216</v>
      </c>
      <c r="C67" s="9" t="s">
        <v>264</v>
      </c>
      <c r="D67" s="9" t="s">
        <v>265</v>
      </c>
      <c r="E67" s="9" t="s">
        <v>266</v>
      </c>
      <c r="F67" s="9" t="s">
        <v>44</v>
      </c>
      <c r="G67" s="9" t="s">
        <v>53</v>
      </c>
      <c r="H67" s="9" t="s">
        <v>62</v>
      </c>
      <c r="I67" s="9" t="s">
        <v>45</v>
      </c>
      <c r="J67" s="9" t="s">
        <v>267</v>
      </c>
      <c r="K67" s="63" t="s">
        <v>268</v>
      </c>
      <c r="L67" s="9" t="s">
        <v>269</v>
      </c>
      <c r="M67" s="26">
        <f t="shared" si="6"/>
        <v>2</v>
      </c>
      <c r="N67" s="27">
        <v>16.0</v>
      </c>
      <c r="O67" s="29"/>
      <c r="P67" s="63" t="s">
        <v>270</v>
      </c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9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67" t="s">
        <v>142</v>
      </c>
      <c r="L69" s="67"/>
      <c r="M69" s="102">
        <f t="shared" ref="M69:N69" si="7">SUM(M60:M67)</f>
        <v>23.75</v>
      </c>
      <c r="N69" s="87">
        <f t="shared" si="7"/>
        <v>190</v>
      </c>
      <c r="O69" s="85">
        <f>R2*N69</f>
        <v>0</v>
      </c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</row>
    <row r="70">
      <c r="A70" s="34"/>
      <c r="B70" s="103" t="s">
        <v>82</v>
      </c>
      <c r="C70" s="36" t="s">
        <v>271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8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</row>
    <row r="71">
      <c r="A71" s="10"/>
      <c r="B71" s="10"/>
      <c r="C71" s="39" t="s">
        <v>272</v>
      </c>
      <c r="P71" s="40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</row>
    <row r="72">
      <c r="A72" s="10"/>
      <c r="B72" s="10"/>
      <c r="C72" s="39" t="s">
        <v>273</v>
      </c>
      <c r="P72" s="40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</row>
    <row r="73">
      <c r="A73" s="85"/>
      <c r="B73" s="85"/>
      <c r="C73" s="39" t="s">
        <v>274</v>
      </c>
      <c r="P73" s="40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</row>
    <row r="74">
      <c r="A74" s="85"/>
      <c r="B74" s="85"/>
      <c r="C74" s="39" t="s">
        <v>275</v>
      </c>
      <c r="P74" s="40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</row>
    <row r="75">
      <c r="A75" s="85"/>
      <c r="B75" s="85"/>
      <c r="C75" s="41" t="s">
        <v>276</v>
      </c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3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</row>
    <row r="76">
      <c r="A76" s="85"/>
      <c r="B76" s="85"/>
      <c r="C76" s="85"/>
      <c r="F76" s="85"/>
      <c r="G76" s="85"/>
      <c r="H76" s="85"/>
      <c r="I76" s="85"/>
      <c r="J76" s="85"/>
      <c r="K76" s="104"/>
      <c r="L76" s="104"/>
      <c r="M76" s="85"/>
      <c r="N76" s="89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</row>
    <row r="77">
      <c r="A77" s="85"/>
      <c r="B77" s="85"/>
      <c r="C77" s="85"/>
      <c r="F77" s="85"/>
      <c r="G77" s="85"/>
      <c r="H77" s="85"/>
      <c r="I77" s="85"/>
      <c r="J77" s="85"/>
      <c r="K77" s="85"/>
      <c r="L77" s="85"/>
      <c r="M77" s="85"/>
      <c r="N77" s="89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</row>
    <row r="78">
      <c r="A78" s="44"/>
      <c r="B78" s="105" t="s">
        <v>277</v>
      </c>
      <c r="C78" s="46"/>
      <c r="D78" s="46"/>
      <c r="E78" s="47"/>
      <c r="F78" s="106"/>
      <c r="G78" s="106"/>
      <c r="H78" s="106"/>
      <c r="I78" s="106"/>
      <c r="J78" s="106"/>
      <c r="K78" s="106"/>
      <c r="L78" s="106"/>
      <c r="M78" s="107"/>
      <c r="N78" s="107"/>
      <c r="O78" s="107"/>
      <c r="P78" s="108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</row>
    <row r="79">
      <c r="A79" s="51"/>
      <c r="B79" s="110" t="s">
        <v>18</v>
      </c>
      <c r="C79" s="111" t="s">
        <v>278</v>
      </c>
      <c r="D79" s="14"/>
      <c r="E79" s="15"/>
      <c r="F79" s="16"/>
      <c r="G79" s="16"/>
      <c r="H79" s="16"/>
      <c r="I79" s="16"/>
      <c r="J79" s="16"/>
      <c r="K79" s="16"/>
      <c r="L79" s="16"/>
      <c r="M79" s="17"/>
      <c r="N79" s="17"/>
      <c r="O79" s="17"/>
      <c r="P79" s="10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</row>
    <row r="80">
      <c r="A80" s="56"/>
      <c r="B80" s="57" t="s">
        <v>91</v>
      </c>
      <c r="C80" s="112" t="s">
        <v>279</v>
      </c>
      <c r="D80" s="20"/>
      <c r="E80" s="21"/>
      <c r="F80" s="16"/>
      <c r="G80" s="16"/>
      <c r="H80" s="16"/>
      <c r="I80" s="16"/>
      <c r="J80" s="16"/>
      <c r="K80" s="16"/>
      <c r="L80" s="16"/>
      <c r="M80" s="17"/>
      <c r="N80" s="17"/>
      <c r="O80" s="17"/>
      <c r="P80" s="10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</row>
    <row r="81">
      <c r="A81" s="22">
        <v>1.0</v>
      </c>
      <c r="B81" s="113" t="s">
        <v>280</v>
      </c>
      <c r="C81" s="9" t="s">
        <v>44</v>
      </c>
      <c r="D81" s="9" t="s">
        <v>281</v>
      </c>
      <c r="E81" s="9" t="s">
        <v>282</v>
      </c>
      <c r="F81" s="9" t="s">
        <v>44</v>
      </c>
      <c r="G81" s="9" t="s">
        <v>283</v>
      </c>
      <c r="H81" s="9" t="s">
        <v>28</v>
      </c>
      <c r="I81" s="9" t="s">
        <v>29</v>
      </c>
      <c r="J81" s="9" t="s">
        <v>284</v>
      </c>
      <c r="K81" s="24" t="s">
        <v>285</v>
      </c>
      <c r="L81" s="24" t="s">
        <v>286</v>
      </c>
      <c r="M81" s="26">
        <f t="shared" ref="M81:M82" si="8">N81/8</f>
        <v>15</v>
      </c>
      <c r="N81" s="27">
        <v>120.0</v>
      </c>
      <c r="O81" s="29"/>
      <c r="P81" s="63" t="s">
        <v>287</v>
      </c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</row>
    <row r="82">
      <c r="A82" s="104">
        <v>2.0</v>
      </c>
      <c r="B82" s="114" t="s">
        <v>280</v>
      </c>
      <c r="C82" s="9" t="s">
        <v>288</v>
      </c>
      <c r="D82" s="9" t="s">
        <v>289</v>
      </c>
      <c r="E82" s="9" t="s">
        <v>290</v>
      </c>
      <c r="F82" s="9" t="s">
        <v>44</v>
      </c>
      <c r="G82" s="9" t="s">
        <v>27</v>
      </c>
      <c r="H82" s="9" t="s">
        <v>54</v>
      </c>
      <c r="I82" s="9" t="s">
        <v>45</v>
      </c>
      <c r="J82" s="9" t="s">
        <v>291</v>
      </c>
      <c r="K82" s="24" t="s">
        <v>292</v>
      </c>
      <c r="L82" s="63" t="s">
        <v>293</v>
      </c>
      <c r="M82" s="26">
        <f t="shared" si="8"/>
        <v>3</v>
      </c>
      <c r="N82" s="27">
        <v>24.0</v>
      </c>
      <c r="O82" s="29"/>
      <c r="P82" s="62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</row>
    <row r="83">
      <c r="A83" s="22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9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</row>
    <row r="84">
      <c r="A84" s="34"/>
      <c r="B84" s="88" t="s">
        <v>82</v>
      </c>
      <c r="C84" s="36" t="s">
        <v>294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8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</row>
    <row r="85">
      <c r="A85" s="10"/>
      <c r="B85" s="10"/>
      <c r="C85" s="39" t="s">
        <v>295</v>
      </c>
      <c r="P85" s="40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</row>
    <row r="86">
      <c r="A86" s="10"/>
      <c r="B86" s="10"/>
      <c r="C86" s="41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3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9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</row>
    <row r="88">
      <c r="A88" s="115"/>
      <c r="B88" s="116" t="s">
        <v>296</v>
      </c>
      <c r="C88" s="46"/>
      <c r="D88" s="46"/>
      <c r="E88" s="47"/>
      <c r="F88" s="106"/>
      <c r="G88" s="106"/>
      <c r="H88" s="106"/>
      <c r="I88" s="106"/>
      <c r="J88" s="106"/>
      <c r="K88" s="106"/>
      <c r="L88" s="106"/>
      <c r="M88" s="107"/>
      <c r="N88" s="107"/>
      <c r="O88" s="107"/>
      <c r="P88" s="108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</row>
    <row r="89">
      <c r="A89" s="117"/>
      <c r="B89" s="118" t="s">
        <v>18</v>
      </c>
      <c r="C89" s="119" t="s">
        <v>278</v>
      </c>
      <c r="D89" s="14"/>
      <c r="E89" s="15"/>
      <c r="F89" s="16"/>
      <c r="G89" s="16"/>
      <c r="H89" s="16"/>
      <c r="I89" s="16"/>
      <c r="J89" s="16"/>
      <c r="K89" s="16"/>
      <c r="L89" s="16"/>
      <c r="M89" s="17"/>
      <c r="N89" s="17"/>
      <c r="O89" s="17"/>
      <c r="P89" s="10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</row>
    <row r="90">
      <c r="A90" s="120"/>
      <c r="B90" s="121" t="s">
        <v>91</v>
      </c>
      <c r="C90" s="122" t="s">
        <v>279</v>
      </c>
      <c r="D90" s="20"/>
      <c r="E90" s="21"/>
      <c r="F90" s="16"/>
      <c r="G90" s="16"/>
      <c r="H90" s="16"/>
      <c r="I90" s="16"/>
      <c r="J90" s="16"/>
      <c r="K90" s="16"/>
      <c r="L90" s="16"/>
      <c r="M90" s="17"/>
      <c r="N90" s="17"/>
      <c r="O90" s="17"/>
      <c r="P90" s="10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</row>
    <row r="91">
      <c r="A91" s="22">
        <v>3.0</v>
      </c>
      <c r="B91" s="123" t="s">
        <v>280</v>
      </c>
      <c r="C91" s="9" t="s">
        <v>297</v>
      </c>
      <c r="D91" s="9" t="s">
        <v>298</v>
      </c>
      <c r="E91" s="9" t="s">
        <v>299</v>
      </c>
      <c r="F91" s="9" t="s">
        <v>26</v>
      </c>
      <c r="G91" s="9" t="s">
        <v>297</v>
      </c>
      <c r="H91" s="9" t="s">
        <v>28</v>
      </c>
      <c r="I91" s="9" t="s">
        <v>29</v>
      </c>
      <c r="J91" s="9" t="s">
        <v>300</v>
      </c>
      <c r="K91" s="24" t="s">
        <v>301</v>
      </c>
      <c r="L91" s="63" t="s">
        <v>302</v>
      </c>
      <c r="M91" s="26">
        <f t="shared" ref="M91:M92" si="9">N91/8</f>
        <v>0</v>
      </c>
      <c r="N91" s="27">
        <v>0.0</v>
      </c>
      <c r="O91" s="85"/>
      <c r="P91" s="63" t="s">
        <v>303</v>
      </c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</row>
    <row r="92">
      <c r="A92" s="104">
        <v>4.0</v>
      </c>
      <c r="B92" s="123" t="s">
        <v>280</v>
      </c>
      <c r="C92" s="9" t="s">
        <v>304</v>
      </c>
      <c r="D92" s="9" t="s">
        <v>305</v>
      </c>
      <c r="E92" s="9" t="s">
        <v>306</v>
      </c>
      <c r="F92" s="9" t="s">
        <v>97</v>
      </c>
      <c r="G92" s="9" t="s">
        <v>53</v>
      </c>
      <c r="H92" s="9" t="s">
        <v>62</v>
      </c>
      <c r="I92" s="9" t="s">
        <v>29</v>
      </c>
      <c r="J92" s="9" t="s">
        <v>307</v>
      </c>
      <c r="K92" s="24" t="s">
        <v>285</v>
      </c>
      <c r="L92" s="63" t="s">
        <v>308</v>
      </c>
      <c r="M92" s="26">
        <f t="shared" si="9"/>
        <v>7.5</v>
      </c>
      <c r="N92" s="27">
        <v>60.0</v>
      </c>
      <c r="O92" s="85"/>
      <c r="P92" s="63" t="s">
        <v>309</v>
      </c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</row>
    <row r="93">
      <c r="A93" s="22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9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</row>
    <row r="94">
      <c r="A94" s="34"/>
      <c r="B94" s="88" t="s">
        <v>82</v>
      </c>
      <c r="C94" s="36" t="s">
        <v>294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8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</row>
    <row r="95">
      <c r="A95" s="10"/>
      <c r="B95" s="10"/>
      <c r="C95" s="39" t="s">
        <v>295</v>
      </c>
      <c r="P95" s="40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</row>
    <row r="96">
      <c r="A96" s="10"/>
      <c r="B96" s="10"/>
      <c r="C96" s="41" t="s">
        <v>310</v>
      </c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3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9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9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9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9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9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9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9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9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9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9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9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9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9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9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9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9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9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9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9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9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9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9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9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9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9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9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9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9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9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9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9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9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9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9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9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9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9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9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9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9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9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9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9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9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9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9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9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9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9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9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9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9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9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9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9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9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9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9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9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9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9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9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9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9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9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9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9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9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9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9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9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9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9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9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9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9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9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9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9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9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9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9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9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9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9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9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9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9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9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9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9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9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9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9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9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9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9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9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9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9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9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9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9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9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9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9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9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9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9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9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9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9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9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9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9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9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9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9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9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9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9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9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9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9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9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9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9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9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9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9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9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9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9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9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9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9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9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9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9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9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9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9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9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9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9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9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9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9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9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9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9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9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9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9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9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9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9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9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9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9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9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9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9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9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9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9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9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9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9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9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9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9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9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9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9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9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9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9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9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9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9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9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9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9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9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9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9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9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9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9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9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9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9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9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9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9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9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9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9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9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9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9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9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9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9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9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9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9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9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9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9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9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9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9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9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9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9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9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9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9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9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9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9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9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9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9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9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9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9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9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9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9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9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9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9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9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9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9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9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9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9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9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9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9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9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9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9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9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9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9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9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9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9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9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9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9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9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9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9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9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9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9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9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9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9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9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9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9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9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9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9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9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9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9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9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9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9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9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9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9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9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9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9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9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9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9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9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9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9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9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9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9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9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9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9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9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9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9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9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9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9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9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9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9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9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9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9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9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9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9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9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9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9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9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9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9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9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9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9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9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9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9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9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9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9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9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9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9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9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9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9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9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9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9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9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9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9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9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9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9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9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9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9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9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9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9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9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9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9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9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9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9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9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9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9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9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9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9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9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9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9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9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9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9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9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9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9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9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9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9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9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9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9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9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9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9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9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9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9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9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9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9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9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9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9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9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9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9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9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9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9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9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9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9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9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9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9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9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9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9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9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9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9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9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9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9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9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9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9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9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9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9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9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9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9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9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9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9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9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9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9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9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9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9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9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9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9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9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9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9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9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9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9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9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9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9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9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9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9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9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9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9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9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9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9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9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9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9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9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9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9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9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9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9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9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9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9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9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9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9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9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9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9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9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9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9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9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9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9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9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9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9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9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9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9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9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9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9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9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9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9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9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9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9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9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9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9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9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9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9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9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9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9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9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9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9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9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9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9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9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9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9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9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9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9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9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9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9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9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9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9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9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9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9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9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9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9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9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9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9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9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9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9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9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9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9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9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9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9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9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9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9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9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9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9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9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9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9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9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9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9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9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9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9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9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9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9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9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9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9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9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9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9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9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9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9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9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9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9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9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9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9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9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9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9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9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9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9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9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9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9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9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9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9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9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9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9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9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9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9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9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9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9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9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9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9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9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9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9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9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9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9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9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9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9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9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9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9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9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9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9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9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9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9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9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9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9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9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9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9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9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9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9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9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9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9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9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9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9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9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9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9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9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9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9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9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9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9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9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9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9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9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9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9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9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9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9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9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9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9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9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9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9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9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9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9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9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9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9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9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9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9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9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9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9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9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9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9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9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9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9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9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9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9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9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9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9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9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9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9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9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9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9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9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9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9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9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9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9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9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9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9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9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9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9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9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9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9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9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9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9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9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9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9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9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9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9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9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9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9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9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9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9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9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9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9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9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9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9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9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9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9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9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9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9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9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9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9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9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9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9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9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9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9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9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9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9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9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9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9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9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9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9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9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9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9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9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9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9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9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9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9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9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9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9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9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9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9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9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9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9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9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9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9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9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9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9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9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9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9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9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9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9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9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9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9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9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9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9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9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9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9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9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9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9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9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9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9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9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9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9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9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9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9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9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9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9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9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9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9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9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9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9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9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9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9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9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9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9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9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9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9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9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9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9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9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9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9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9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9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9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9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9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9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9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9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9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9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9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9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9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9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9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9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9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9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9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9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9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9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9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9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9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9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9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9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9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9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9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9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9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9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9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9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9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9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9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9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9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9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9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9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9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9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9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9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9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9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9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9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9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9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9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9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9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9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9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9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9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9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9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9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9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9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9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9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9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9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9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9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9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9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9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9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9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9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9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9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9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9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</row>
  </sheetData>
  <mergeCells count="49">
    <mergeCell ref="B2:E2"/>
    <mergeCell ref="C3:G3"/>
    <mergeCell ref="C4:G4"/>
    <mergeCell ref="C13:P13"/>
    <mergeCell ref="C14:P14"/>
    <mergeCell ref="C15:P15"/>
    <mergeCell ref="C16:P16"/>
    <mergeCell ref="C17:P17"/>
    <mergeCell ref="C18:P18"/>
    <mergeCell ref="B20:E20"/>
    <mergeCell ref="C21:E21"/>
    <mergeCell ref="C22:E22"/>
    <mergeCell ref="C32:P32"/>
    <mergeCell ref="C33:P33"/>
    <mergeCell ref="C34:P34"/>
    <mergeCell ref="C35:P35"/>
    <mergeCell ref="C36:P36"/>
    <mergeCell ref="B38:E38"/>
    <mergeCell ref="C39:G39"/>
    <mergeCell ref="C40:G40"/>
    <mergeCell ref="C50:P50"/>
    <mergeCell ref="C51:P51"/>
    <mergeCell ref="C52:P52"/>
    <mergeCell ref="C53:P53"/>
    <mergeCell ref="C54:P54"/>
    <mergeCell ref="C55:P55"/>
    <mergeCell ref="B57:E57"/>
    <mergeCell ref="C58:E58"/>
    <mergeCell ref="C59:E59"/>
    <mergeCell ref="C70:P70"/>
    <mergeCell ref="C71:P71"/>
    <mergeCell ref="C72:P72"/>
    <mergeCell ref="C73:P73"/>
    <mergeCell ref="C74:P74"/>
    <mergeCell ref="C75:P75"/>
    <mergeCell ref="C86:P86"/>
    <mergeCell ref="B88:E88"/>
    <mergeCell ref="C89:E89"/>
    <mergeCell ref="C90:E90"/>
    <mergeCell ref="C94:P94"/>
    <mergeCell ref="C95:P95"/>
    <mergeCell ref="C96:P96"/>
    <mergeCell ref="C76:E76"/>
    <mergeCell ref="C77:E77"/>
    <mergeCell ref="B78:E78"/>
    <mergeCell ref="C79:E79"/>
    <mergeCell ref="C80:E80"/>
    <mergeCell ref="C84:P84"/>
    <mergeCell ref="C85:P8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