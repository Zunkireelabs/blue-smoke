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i val="1"/>
      <sz val="10"/>
    </font>
    <font>
      <b val="1"/>
      <color rgb="00FFFFFF"/>
      <sz val="10"/>
    </font>
    <font>
      <b val="1"/>
      <color rgb="00FFFFFF"/>
      <sz val="12"/>
    </font>
    <font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548235"/>
      </patternFill>
    </fill>
    <fill>
      <patternFill patternType="solid">
        <fgColor rgb="00BF9000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7" fillId="9" borderId="0" pivotButton="0" quotePrefix="0" xfId="0"/>
    <xf numFmtId="0" fontId="7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3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34" customWidth="1" min="10" max="10"/>
    <col width="28" customWidth="1" min="11" max="11"/>
    <col width="34" customWidth="1" min="12" max="12"/>
    <col width="12" customWidth="1" min="13" max="13"/>
    <col width="10" customWidth="1" min="14" max="14"/>
    <col width="12" customWidth="1" min="15" max="15"/>
    <col width="30" customWidth="1" min="16" max="16"/>
  </cols>
  <sheetData>
    <row r="1" ht="24" customHeight="1">
      <c r="A1" s="1" t="inlineStr">
        <is>
          <t>BLUE SMOKE — Vape Device Control App — Master Scope &amp; Work Breakdown</t>
        </is>
      </c>
    </row>
    <row r="2">
      <c r="A2" s="2" t="inlineStr">
        <is>
          <t>Hourly Rate (USD)</t>
        </is>
      </c>
      <c r="B2" s="2" t="n">
        <v>25</v>
      </c>
      <c r="D2" s="3" t="inlineStr">
        <is>
          <t>Platform: React Native (iOS+Android) · Verification: on-device ML · Backend: managed BaaS · Firmware: client team (to our spec)</t>
        </is>
      </c>
    </row>
    <row r="4" ht="30" customHeight="1">
      <c r="A4" s="4" t="inlineStr">
        <is>
          <t>SN</t>
        </is>
      </c>
      <c r="B4" s="4" t="inlineStr">
        <is>
          <t>Phase</t>
        </is>
      </c>
      <c r="C4" s="4" t="inlineStr">
        <is>
          <t>Module</t>
        </is>
      </c>
      <c r="D4" s="4" t="inlineStr">
        <is>
          <t>Feature Name</t>
        </is>
      </c>
      <c r="E4" s="4" t="inlineStr">
        <is>
          <t>Feature Description (Client-Friendly)</t>
        </is>
      </c>
      <c r="F4" s="4" t="inlineStr">
        <is>
          <t>User Roles</t>
        </is>
      </c>
      <c r="G4" s="4" t="inlineStr">
        <is>
          <t>Platform</t>
        </is>
      </c>
      <c r="H4" s="4" t="inlineStr">
        <is>
          <t>Backend Dependency</t>
        </is>
      </c>
      <c r="I4" s="4" t="inlineStr">
        <is>
          <t>Complexity</t>
        </is>
      </c>
      <c r="J4" s="4" t="inlineStr">
        <is>
          <t>Assumptions</t>
        </is>
      </c>
      <c r="K4" s="4" t="inlineStr">
        <is>
          <t>Explicit Exclusions</t>
        </is>
      </c>
      <c r="L4" s="4" t="inlineStr">
        <is>
          <t>Risk Note</t>
        </is>
      </c>
      <c r="M4" s="4" t="inlineStr">
        <is>
          <t>Effort (Person-Days)</t>
        </is>
      </c>
      <c r="N4" s="4" t="inlineStr">
        <is>
          <t>Est. Hours</t>
        </is>
      </c>
      <c r="O4" s="4" t="inlineStr">
        <is>
          <t>Cost</t>
        </is>
      </c>
      <c r="P4" s="4" t="inlineStr">
        <is>
          <t>Notes / Negotiation Buffer</t>
        </is>
      </c>
    </row>
    <row r="5" ht="22" customHeight="1">
      <c r="A5" s="5" t="inlineStr">
        <is>
          <t>🟦 PHASE 0 — FOUNDATION, ARCHITECTURE &amp; INTEGRATION</t>
        </is>
      </c>
    </row>
    <row r="6" ht="48" customHeight="1">
      <c r="A6" s="2" t="inlineStr">
        <is>
          <t>Goal</t>
        </is>
      </c>
      <c r="B6" s="6" t="inlineStr">
        <is>
          <t>Establish the app skeleton, managed backend, security/privacy model, and the BLE interface specification (lock/unlock + dead-man auto-lock) that the client firmware team will implement — before any customer-facing feature work begins.</t>
        </is>
      </c>
    </row>
    <row r="7" ht="120" customHeight="1">
      <c r="A7" s="2" t="inlineStr">
        <is>
          <t>Client framing</t>
        </is>
      </c>
      <c r="B7" s="7" t="inlineStr">
        <is>
          <t>This phase delivers:
  •  Full system &amp; data-flow architecture for app + BaaS + device
  •  A BLE Interface Spec handed to the firmware team
  •  Managed backend (auth, users, devices, verification flag, push)
  •  React Native app scaffold + CI/CD for iOS &amp; Android
  •  Privacy &amp; security design (all ID/biometric data stays on-device)
  •  Design system and key-screen wireframes</t>
        </is>
      </c>
    </row>
    <row r="8" ht="78" customHeight="1">
      <c r="A8" s="8" t="n">
        <v>1</v>
      </c>
      <c r="B8" s="9" t="inlineStr">
        <is>
          <t xml:space="preserve"> 0</t>
        </is>
      </c>
      <c r="C8" s="9" t="inlineStr">
        <is>
          <t>Architecture</t>
        </is>
      </c>
      <c r="D8" s="9" t="inlineStr">
        <is>
          <t>System Architecture &amp; Data-Flow Design</t>
        </is>
      </c>
      <c r="E8" s="9" t="inlineStr">
        <is>
          <t>Define the full app–BaaS–device architecture: API contracts, data flow, on-device data handling, and integration blueprint for all phases</t>
        </is>
      </c>
      <c r="F8" s="8" t="inlineStr">
        <is>
          <t>Admin</t>
        </is>
      </c>
      <c r="G8" s="8" t="inlineStr">
        <is>
          <t>Backend</t>
        </is>
      </c>
      <c r="H8" s="8" t="inlineStr">
        <is>
          <t>Yes</t>
        </is>
      </c>
      <c r="I8" s="8" t="inlineStr">
        <is>
          <t>High</t>
        </is>
      </c>
      <c r="J8" s="9" t="inlineStr">
        <is>
          <t>Device hardware (YC1012_JD + Cortex-M0+) specs available; BaaS chosen</t>
        </is>
      </c>
      <c r="K8" s="9" t="inlineStr">
        <is>
          <t>Hosting/infra procurement</t>
        </is>
      </c>
      <c r="L8" s="9" t="inlineStr">
        <is>
          <t>Hardware/BLE limitations discovered late</t>
        </is>
      </c>
      <c r="M8" s="8">
        <f>N8/8</f>
        <v/>
      </c>
      <c r="N8" s="8" t="n">
        <v>24</v>
      </c>
      <c r="O8" s="8">
        <f>N8*$B$2</f>
        <v/>
      </c>
      <c r="P8" s="9" t="inlineStr">
        <is>
          <t>Architecture doc must be approved before Phase 1 begins</t>
        </is>
      </c>
    </row>
    <row r="9" ht="78" customHeight="1">
      <c r="A9" s="8" t="n">
        <v>2</v>
      </c>
      <c r="B9" s="9" t="inlineStr">
        <is>
          <t xml:space="preserve"> 0</t>
        </is>
      </c>
      <c r="C9" s="9" t="inlineStr">
        <is>
          <t>BLE</t>
        </is>
      </c>
      <c r="D9" s="9" t="inlineStr">
        <is>
          <t>BLE Interface Spec (Lock/Unlock + Auto-Lock)</t>
        </is>
      </c>
      <c r="E9" s="9" t="inlineStr">
        <is>
          <t>Define the custom GATT service: lock/unlock characteristic, lock-state/battery notify, authenticated session token, and firmware-side dead-man auto-lock on link loss. Delivered as a spec doc for the firmware team</t>
        </is>
      </c>
      <c r="F9" s="8" t="inlineStr">
        <is>
          <t>Admin</t>
        </is>
      </c>
      <c r="G9" s="8" t="inlineStr">
        <is>
          <t>Both</t>
        </is>
      </c>
      <c r="H9" s="8" t="inlineStr">
        <is>
          <t>Partial</t>
        </is>
      </c>
      <c r="I9" s="8" t="inlineStr">
        <is>
          <t>High</t>
        </is>
      </c>
      <c r="J9" s="9" t="inlineStr">
        <is>
          <t>Firmware team can implement the spec on the device SoC</t>
        </is>
      </c>
      <c r="K9" s="9" t="inlineStr">
        <is>
          <t>Firmware development</t>
        </is>
      </c>
      <c r="L9" s="9" t="inlineStr">
        <is>
          <t>Firmware team availability / implementation slippage</t>
        </is>
      </c>
      <c r="M9" s="8">
        <f>N9/8</f>
        <v/>
      </c>
      <c r="N9" s="8" t="n">
        <v>24</v>
      </c>
      <c r="O9" s="8">
        <f>N9*$B$2</f>
        <v/>
      </c>
      <c r="P9" s="9" t="inlineStr">
        <is>
          <t>Hard dependency: firmware must implement this before Phase 3 integration</t>
        </is>
      </c>
    </row>
    <row r="10" ht="78" customHeight="1">
      <c r="A10" s="8" t="n">
        <v>3</v>
      </c>
      <c r="B10" s="9" t="inlineStr">
        <is>
          <t xml:space="preserve"> 0</t>
        </is>
      </c>
      <c r="C10" s="9" t="inlineStr">
        <is>
          <t>Backend</t>
        </is>
      </c>
      <c r="D10" s="9" t="inlineStr">
        <is>
          <t>BaaS Setup — Auth, DB Schema &amp; Push</t>
        </is>
      </c>
      <c r="E10" s="9" t="inlineStr">
        <is>
          <t>Provision managed backend (Supabase/Firebase): authentication, database schema (users, devices, verification flag, audit), and push (FCM/APNs) foundation</t>
        </is>
      </c>
      <c r="F10" s="8" t="inlineStr">
        <is>
          <t>All</t>
        </is>
      </c>
      <c r="G10" s="8" t="inlineStr">
        <is>
          <t>Backend</t>
        </is>
      </c>
      <c r="H10" s="8" t="inlineStr">
        <is>
          <t>Yes</t>
        </is>
      </c>
      <c r="I10" s="8" t="inlineStr">
        <is>
          <t>Medium</t>
        </is>
      </c>
      <c r="J10" s="9" t="inlineStr">
        <is>
          <t>BaaS account available; schema agreed</t>
        </is>
      </c>
      <c r="K10" s="9" t="inlineStr">
        <is>
          <t>Custom backend build</t>
        </is>
      </c>
      <c r="L10" s="9" t="inlineStr">
        <is>
          <t>Vendor limits on auth/push</t>
        </is>
      </c>
      <c r="M10" s="8">
        <f>N10/8</f>
        <v/>
      </c>
      <c r="N10" s="8" t="n">
        <v>16</v>
      </c>
      <c r="O10" s="8">
        <f>N10*$B$2</f>
        <v/>
      </c>
      <c r="P10" s="9" t="inlineStr">
        <is>
          <t>Stores only an age_verified flag — never raw ID/biometric data</t>
        </is>
      </c>
    </row>
    <row r="11" ht="78" customHeight="1">
      <c r="A11" s="8" t="n">
        <v>4</v>
      </c>
      <c r="B11" s="9" t="inlineStr">
        <is>
          <t xml:space="preserve"> 0</t>
        </is>
      </c>
      <c r="C11" s="9" t="inlineStr">
        <is>
          <t>App</t>
        </is>
      </c>
      <c r="D11" s="9" t="inlineStr">
        <is>
          <t>React Native App Scaffold &amp; Native Modules</t>
        </is>
      </c>
      <c r="E11" s="9" t="inlineStr">
        <is>
          <t>Set up the RN app: navigation, TypeScript config, state management, and wiring of native modules (BLE, camera, ML, secure storage)</t>
        </is>
      </c>
      <c r="F11" s="8" t="inlineStr">
        <is>
          <t>All</t>
        </is>
      </c>
      <c r="G11" s="8" t="inlineStr">
        <is>
          <t>Mobile</t>
        </is>
      </c>
      <c r="H11" s="8" t="inlineStr">
        <is>
          <t>No</t>
        </is>
      </c>
      <c r="I11" s="8" t="inlineStr">
        <is>
          <t>Medium</t>
        </is>
      </c>
      <c r="J11" s="9" t="inlineStr">
        <is>
          <t>RN toolchain and native module libraries compatible</t>
        </is>
      </c>
      <c r="K11" s="9" t="inlineStr">
        <is>
          <t>Native (Swift/Kotlin) rewrite</t>
        </is>
      </c>
      <c r="L11" s="9" t="inlineStr">
        <is>
          <t>Native module version conflicts across platforms</t>
        </is>
      </c>
      <c r="M11" s="8">
        <f>N11/8</f>
        <v/>
      </c>
      <c r="N11" s="8" t="n">
        <v>20</v>
      </c>
      <c r="O11" s="8">
        <f>N11*$B$2</f>
        <v/>
      </c>
      <c r="P11" s="9" t="inlineStr">
        <is>
          <t>Single codebase for iOS + Android</t>
        </is>
      </c>
    </row>
    <row r="12" ht="78" customHeight="1">
      <c r="A12" s="8" t="n">
        <v>5</v>
      </c>
      <c r="B12" s="9" t="inlineStr">
        <is>
          <t xml:space="preserve"> 0</t>
        </is>
      </c>
      <c r="C12" s="9" t="inlineStr">
        <is>
          <t>DevOps</t>
        </is>
      </c>
      <c r="D12" s="9" t="inlineStr">
        <is>
          <t>CI/CD &amp; Environments (Dev/Staging/Prod)</t>
        </is>
      </c>
      <c r="E12" s="9" t="inlineStr">
        <is>
          <t>Configure Dev/Staging/Prod environments and CI/CD pipelines with automated builds and signing for both iOS and Android</t>
        </is>
      </c>
      <c r="F12" s="8" t="inlineStr">
        <is>
          <t>Admin</t>
        </is>
      </c>
      <c r="G12" s="8" t="inlineStr">
        <is>
          <t>Both</t>
        </is>
      </c>
      <c r="H12" s="8" t="inlineStr">
        <is>
          <t>No</t>
        </is>
      </c>
      <c r="I12" s="8" t="inlineStr">
        <is>
          <t>Medium</t>
        </is>
      </c>
      <c r="J12" s="9" t="inlineStr">
        <is>
          <t>Apple &amp; Google developer accounts provided by client</t>
        </is>
      </c>
      <c r="K12" s="9" t="inlineStr">
        <is>
          <t>Ongoing infra cost management</t>
        </is>
      </c>
      <c r="L12" s="9" t="inlineStr">
        <is>
          <t>Signing/provisioning issues on iOS</t>
        </is>
      </c>
      <c r="M12" s="8">
        <f>N12/8</f>
        <v/>
      </c>
      <c r="N12" s="8" t="n">
        <v>20</v>
      </c>
      <c r="O12" s="8">
        <f>N12*$B$2</f>
        <v/>
      </c>
      <c r="P12" s="9" t="inlineStr">
        <is>
          <t>TestFlight + Play Internal Testing used for demos</t>
        </is>
      </c>
    </row>
    <row r="13" ht="78" customHeight="1">
      <c r="A13" s="8" t="n">
        <v>6</v>
      </c>
      <c r="B13" s="9" t="inlineStr">
        <is>
          <t xml:space="preserve"> 0</t>
        </is>
      </c>
      <c r="C13" s="9" t="inlineStr">
        <is>
          <t>Security</t>
        </is>
      </c>
      <c r="D13" s="9" t="inlineStr">
        <is>
          <t>Privacy &amp; Security Design</t>
        </is>
      </c>
      <c r="E13" s="9" t="inlineStr">
        <is>
          <t>Design on-device data handling, encrypted secure storage (Keychain/Keystore), HTTPS, token handling, and the data-deletion policy for ID/selfie/biometrics</t>
        </is>
      </c>
      <c r="F13" s="8" t="inlineStr">
        <is>
          <t>Admin</t>
        </is>
      </c>
      <c r="G13" s="8" t="inlineStr">
        <is>
          <t>Both</t>
        </is>
      </c>
      <c r="H13" s="8" t="inlineStr">
        <is>
          <t>Partial</t>
        </is>
      </c>
      <c r="I13" s="8" t="inlineStr">
        <is>
          <t>High</t>
        </is>
      </c>
      <c r="J13" s="9" t="inlineStr">
        <is>
          <t>SSL ready; secure storage APIs available</t>
        </is>
      </c>
      <c r="K13" s="9" t="inlineStr">
        <is>
          <t>Penetration testing (flagged for Phase 3)</t>
        </is>
      </c>
      <c r="L13" s="9" t="inlineStr">
        <is>
          <t>Misconfigured storage or key leakage</t>
        </is>
      </c>
      <c r="M13" s="8">
        <f>N13/8</f>
        <v/>
      </c>
      <c r="N13" s="8" t="n">
        <v>16</v>
      </c>
      <c r="O13" s="8">
        <f>N13*$B$2</f>
        <v/>
      </c>
      <c r="P13" s="9" t="inlineStr">
        <is>
          <t>Privacy-by-design is a key client selling point</t>
        </is>
      </c>
    </row>
    <row r="14" ht="78" customHeight="1">
      <c r="A14" s="8" t="n">
        <v>7</v>
      </c>
      <c r="B14" s="9" t="inlineStr">
        <is>
          <t xml:space="preserve"> 0</t>
        </is>
      </c>
      <c r="C14" s="9" t="inlineStr">
        <is>
          <t>Design</t>
        </is>
      </c>
      <c r="D14" s="9" t="inlineStr">
        <is>
          <t>Design System &amp; Key-Screen Wireframes</t>
        </is>
      </c>
      <c r="E14" s="9" t="inlineStr">
        <is>
          <t>Build the UI kit (components, theme) and wireframe the key flows: onboarding, pairing, verification, lock/unlock</t>
        </is>
      </c>
      <c r="F14" s="8" t="inlineStr">
        <is>
          <t>All</t>
        </is>
      </c>
      <c r="G14" s="8" t="inlineStr">
        <is>
          <t>Mobile</t>
        </is>
      </c>
      <c r="H14" s="8" t="inlineStr">
        <is>
          <t>No</t>
        </is>
      </c>
      <c r="I14" s="8" t="inlineStr">
        <is>
          <t>Medium</t>
        </is>
      </c>
      <c r="J14" s="9" t="inlineStr">
        <is>
          <t>Brand assets provided by client</t>
        </is>
      </c>
      <c r="K14" s="9" t="inlineStr">
        <is>
          <t>Full marketing site design</t>
        </is>
      </c>
      <c r="L14" s="9" t="inlineStr">
        <is>
          <t>Design iterations extend timeline</t>
        </is>
      </c>
      <c r="M14" s="8">
        <f>N14/8</f>
        <v/>
      </c>
      <c r="N14" s="8" t="n">
        <v>24</v>
      </c>
      <c r="O14" s="8">
        <f>N14*$B$2</f>
        <v/>
      </c>
      <c r="P14" s="9" t="inlineStr">
        <is>
          <t>Front-loaded so engineering is never blocked on design</t>
        </is>
      </c>
    </row>
    <row r="15">
      <c r="A15" s="10" t="n"/>
      <c r="B15" s="10" t="n"/>
      <c r="C15" s="10" t="n"/>
      <c r="D15" s="11" t="inlineStr">
        <is>
          <t>Subtotal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2">
        <f>SUM(M8:M14)</f>
        <v/>
      </c>
      <c r="N15" s="12">
        <f>SUM(N8:N14)</f>
        <v/>
      </c>
      <c r="O15" s="12">
        <f>SUM(O8:O14)</f>
        <v/>
      </c>
      <c r="P15" s="10" t="n"/>
    </row>
    <row r="16" ht="112" customHeight="1">
      <c r="A16" s="2" t="inlineStr">
        <is>
          <t>Exit Criteria</t>
        </is>
      </c>
      <c r="B16" s="7" t="inlineStr">
        <is>
          <t>- System architecture document approved by all stakeholders
- BLE Interface Spec delivered to and acknowledged by firmware team
- Authentication and database live (users, devices, verification flag)
- React Native app builds on both iOS and Android via CI/CD
- Privacy/security design documented (on-device data, deletion policy)
- Design system and key-screen wireframes approved</t>
        </is>
      </c>
    </row>
    <row r="18" ht="22" customHeight="1">
      <c r="A18" s="13" t="inlineStr">
        <is>
          <t>🟩 PHASE 1 — ACCOUNTS &amp; DEVICE MANAGEMENT (BLE)</t>
        </is>
      </c>
    </row>
    <row r="19" ht="48" customHeight="1">
      <c r="A19" s="2" t="inlineStr">
        <is>
          <t>Goal</t>
        </is>
      </c>
      <c r="B19" s="6" t="inlineStr">
        <is>
          <t>Enable users to create accounts, log in, and pair &amp; manage multiple devices over Bluetooth Low Energy, with a reliable connection lifecycle across foreground and background.</t>
        </is>
      </c>
    </row>
    <row r="20" ht="120" customHeight="1">
      <c r="A20" s="2" t="inlineStr">
        <is>
          <t>Client framing</t>
        </is>
      </c>
      <c r="B20" s="7" t="inlineStr">
        <is>
          <t>This phase delivers:
  •  Account lifecycle: signup, login, password reset
  •  BLE device scan, discovery, pairing and bonding
  •  Multiple devices per account (list, rename, unpair, status, battery)
  •  Device ↔ account sync
  •  Robust connection lifecycle (reconnect, background)
  •  Profile &amp; settings</t>
        </is>
      </c>
    </row>
    <row r="21" ht="78" customHeight="1">
      <c r="A21" s="8" t="n">
        <v>1</v>
      </c>
      <c r="B21" s="9" t="inlineStr">
        <is>
          <t xml:space="preserve"> 1</t>
        </is>
      </c>
      <c r="C21" s="9" t="inlineStr">
        <is>
          <t>Auth</t>
        </is>
      </c>
      <c r="D21" s="9" t="inlineStr">
        <is>
          <t>Signup / Login / Password Reset</t>
        </is>
      </c>
      <c r="E21" s="9" t="inlineStr">
        <is>
          <t>Account creation, login, and password reset via the managed backend. Secure session/token handling and logout</t>
        </is>
      </c>
      <c r="F21" s="8" t="inlineStr">
        <is>
          <t>Customer</t>
        </is>
      </c>
      <c r="G21" s="8" t="inlineStr">
        <is>
          <t>Mobile</t>
        </is>
      </c>
      <c r="H21" s="8" t="inlineStr">
        <is>
          <t>Yes</t>
        </is>
      </c>
      <c r="I21" s="8" t="inlineStr">
        <is>
          <t>Medium</t>
        </is>
      </c>
      <c r="J21" s="9" t="inlineStr">
        <is>
          <t>BaaS auth supports email (and optional social)</t>
        </is>
      </c>
      <c r="K21" s="9" t="inlineStr">
        <is>
          <t>SSO / enterprise identity</t>
        </is>
      </c>
      <c r="L21" s="9" t="inlineStr">
        <is>
          <t>Token expiry/refresh edge cases</t>
        </is>
      </c>
      <c r="M21" s="8">
        <f>N21/8</f>
        <v/>
      </c>
      <c r="N21" s="8" t="n">
        <v>20</v>
      </c>
      <c r="O21" s="8">
        <f>N21*$B$2</f>
        <v/>
      </c>
      <c r="P21" s="9" t="inlineStr">
        <is>
          <t>Session timeout to be agreed with client</t>
        </is>
      </c>
    </row>
    <row r="22" ht="78" customHeight="1">
      <c r="A22" s="8" t="n">
        <v>2</v>
      </c>
      <c r="B22" s="9" t="inlineStr">
        <is>
          <t xml:space="preserve"> 1</t>
        </is>
      </c>
      <c r="C22" s="9" t="inlineStr">
        <is>
          <t>Onboarding</t>
        </is>
      </c>
      <c r="D22" s="9" t="inlineStr">
        <is>
          <t>Onboarding &amp; Permissions Flow</t>
        </is>
      </c>
      <c r="E22" s="9" t="inlineStr">
        <is>
          <t>First-run onboarding that explains the product and requests Bluetooth and camera permissions with clear rationale</t>
        </is>
      </c>
      <c r="F22" s="8" t="inlineStr">
        <is>
          <t>Customer</t>
        </is>
      </c>
      <c r="G22" s="8" t="inlineStr">
        <is>
          <t>Mobile</t>
        </is>
      </c>
      <c r="H22" s="8" t="inlineStr">
        <is>
          <t>No</t>
        </is>
      </c>
      <c r="I22" s="8" t="inlineStr">
        <is>
          <t>Low</t>
        </is>
      </c>
      <c r="J22" s="9" t="inlineStr">
        <is>
          <t>Standard OS permission flows</t>
        </is>
      </c>
      <c r="K22" s="9" t="inlineStr">
        <is>
          <t>Animated/video onboarding</t>
        </is>
      </c>
      <c r="L22" s="9" t="inlineStr">
        <is>
          <t>Permission denial handling UX</t>
        </is>
      </c>
      <c r="M22" s="8">
        <f>N22/8</f>
        <v/>
      </c>
      <c r="N22" s="8" t="n">
        <v>12</v>
      </c>
      <c r="O22" s="8">
        <f>N22*$B$2</f>
        <v/>
      </c>
      <c r="P22" s="9" t="inlineStr">
        <is>
          <t>Permissions framed to maximise opt-in</t>
        </is>
      </c>
    </row>
    <row r="23" ht="78" customHeight="1">
      <c r="A23" s="8" t="n">
        <v>3</v>
      </c>
      <c r="B23" s="9" t="inlineStr">
        <is>
          <t xml:space="preserve"> 1</t>
        </is>
      </c>
      <c r="C23" s="9" t="inlineStr">
        <is>
          <t>BLE</t>
        </is>
      </c>
      <c r="D23" s="9" t="inlineStr">
        <is>
          <t>Device Scan &amp; Discovery</t>
        </is>
      </c>
      <c r="E23" s="9" t="inlineStr">
        <is>
          <t>Scan for nearby Blue Smoke devices over BLE and present discoverable devices to the user</t>
        </is>
      </c>
      <c r="F23" s="8" t="inlineStr">
        <is>
          <t>Customer</t>
        </is>
      </c>
      <c r="G23" s="8" t="inlineStr">
        <is>
          <t>Mobile</t>
        </is>
      </c>
      <c r="H23" s="8" t="inlineStr">
        <is>
          <t>No</t>
        </is>
      </c>
      <c r="I23" s="8" t="inlineStr">
        <is>
          <t>Medium</t>
        </is>
      </c>
      <c r="J23" s="9" t="inlineStr">
        <is>
          <t>Device advertises a known service UUID</t>
        </is>
      </c>
      <c r="K23" s="9" t="inlineStr">
        <is>
          <t>Non-BLE transports</t>
        </is>
      </c>
      <c r="L23" s="9" t="inlineStr">
        <is>
          <t>Scanning behaviour differences across OS versions</t>
        </is>
      </c>
      <c r="M23" s="8">
        <f>N23/8</f>
        <v/>
      </c>
      <c r="N23" s="8" t="n">
        <v>18</v>
      </c>
      <c r="O23" s="8">
        <f>N23*$B$2</f>
        <v/>
      </c>
      <c r="P23" s="9" t="inlineStr">
        <is>
          <t>Filter to Blue Smoke devices only</t>
        </is>
      </c>
    </row>
    <row r="24" ht="78" customHeight="1">
      <c r="A24" s="8" t="n">
        <v>4</v>
      </c>
      <c r="B24" s="9" t="inlineStr">
        <is>
          <t xml:space="preserve"> 1</t>
        </is>
      </c>
      <c r="C24" s="9" t="inlineStr">
        <is>
          <t>BLE</t>
        </is>
      </c>
      <c r="D24" s="9" t="inlineStr">
        <is>
          <t>Pairing / Bonding Flow</t>
        </is>
      </c>
      <c r="E24" s="9" t="inlineStr">
        <is>
          <t>Pair and bond with a device, establish the authenticated session, and associate it with the user's account</t>
        </is>
      </c>
      <c r="F24" s="8" t="inlineStr">
        <is>
          <t>Customer</t>
        </is>
      </c>
      <c r="G24" s="8" t="inlineStr">
        <is>
          <t>Mobile</t>
        </is>
      </c>
      <c r="H24" s="8" t="inlineStr">
        <is>
          <t>Partial</t>
        </is>
      </c>
      <c r="I24" s="8" t="inlineStr">
        <is>
          <t>High</t>
        </is>
      </c>
      <c r="J24" s="9" t="inlineStr">
        <is>
          <t>Firmware supports bonding + session token</t>
        </is>
      </c>
      <c r="K24" s="9" t="inlineStr">
        <is>
          <t>Multi-user shared device</t>
        </is>
      </c>
      <c r="L24" s="9" t="inlineStr">
        <is>
          <t>Bonding reliability across iOS/Android</t>
        </is>
      </c>
      <c r="M24" s="8">
        <f>N24/8</f>
        <v/>
      </c>
      <c r="N24" s="8" t="n">
        <v>24</v>
      </c>
      <c r="O24" s="8">
        <f>N24*$B$2</f>
        <v/>
      </c>
      <c r="P24" s="9" t="inlineStr">
        <is>
          <t>Device token bound to the verified account</t>
        </is>
      </c>
    </row>
    <row r="25" ht="78" customHeight="1">
      <c r="A25" s="8" t="n">
        <v>5</v>
      </c>
      <c r="B25" s="9" t="inlineStr">
        <is>
          <t xml:space="preserve"> 1</t>
        </is>
      </c>
      <c r="C25" s="9" t="inlineStr">
        <is>
          <t>Devices</t>
        </is>
      </c>
      <c r="D25" s="9" t="inlineStr">
        <is>
          <t>Multi-Device Management</t>
        </is>
      </c>
      <c r="E25" s="9" t="inlineStr">
        <is>
          <t>Manage multiple paired devices: list, rename, unpair, and view live status (connected/locked, battery)</t>
        </is>
      </c>
      <c r="F25" s="8" t="inlineStr">
        <is>
          <t>Customer</t>
        </is>
      </c>
      <c r="G25" s="8" t="inlineStr">
        <is>
          <t>Mobile</t>
        </is>
      </c>
      <c r="H25" s="8" t="inlineStr">
        <is>
          <t>Yes</t>
        </is>
      </c>
      <c r="I25" s="8" t="inlineStr">
        <is>
          <t>Medium</t>
        </is>
      </c>
      <c r="J25" s="9" t="inlineStr">
        <is>
          <t>Backend stores device records per user</t>
        </is>
      </c>
      <c r="K25" s="9" t="inlineStr">
        <is>
          <t>Device sharing between accounts</t>
        </is>
      </c>
      <c r="L25" s="9" t="inlineStr">
        <is>
          <t>State sync conflicts across devices</t>
        </is>
      </c>
      <c r="M25" s="8">
        <f>N25/8</f>
        <v/>
      </c>
      <c r="N25" s="8" t="n">
        <v>24</v>
      </c>
      <c r="O25" s="8">
        <f>N25*$B$2</f>
        <v/>
      </c>
      <c r="P25" s="9" t="inlineStr">
        <is>
          <t>A user can pair several devices</t>
        </is>
      </c>
    </row>
    <row r="26" ht="78" customHeight="1">
      <c r="A26" s="8" t="n">
        <v>6</v>
      </c>
      <c r="B26" s="9" t="inlineStr">
        <is>
          <t xml:space="preserve"> 1</t>
        </is>
      </c>
      <c r="C26" s="9" t="inlineStr">
        <is>
          <t>Sync</t>
        </is>
      </c>
      <c r="D26" s="9" t="inlineStr">
        <is>
          <t>Device ↔ Account Sync</t>
        </is>
      </c>
      <c r="E26" s="9" t="inlineStr">
        <is>
          <t>Sync paired-device records and state between the app and backend so devices persist across reinstalls/logins</t>
        </is>
      </c>
      <c r="F26" s="8" t="inlineStr">
        <is>
          <t>Customer</t>
        </is>
      </c>
      <c r="G26" s="8" t="inlineStr">
        <is>
          <t>Both</t>
        </is>
      </c>
      <c r="H26" s="8" t="inlineStr">
        <is>
          <t>Yes</t>
        </is>
      </c>
      <c r="I26" s="8" t="inlineStr">
        <is>
          <t>Medium</t>
        </is>
      </c>
      <c r="J26" s="9" t="inlineStr">
        <is>
          <t>Backend device model available</t>
        </is>
      </c>
      <c r="K26" s="9" t="inlineStr">
        <is>
          <t>Cross-user device transfer</t>
        </is>
      </c>
      <c r="L26" s="9" t="inlineStr">
        <is>
          <t>Sync lag / offline edits</t>
        </is>
      </c>
      <c r="M26" s="8">
        <f>N26/8</f>
        <v/>
      </c>
      <c r="N26" s="8" t="n">
        <v>16</v>
      </c>
      <c r="O26" s="8">
        <f>N26*$B$2</f>
        <v/>
      </c>
      <c r="P26" s="9" t="inlineStr">
        <is>
          <t>Single source of truth in backend</t>
        </is>
      </c>
    </row>
    <row r="27" ht="78" customHeight="1">
      <c r="A27" s="8" t="n">
        <v>7</v>
      </c>
      <c r="B27" s="9" t="inlineStr">
        <is>
          <t xml:space="preserve"> 1</t>
        </is>
      </c>
      <c r="C27" s="9" t="inlineStr">
        <is>
          <t>BLE</t>
        </is>
      </c>
      <c r="D27" s="9" t="inlineStr">
        <is>
          <t>Connection Lifecycle &amp; Reconnect</t>
        </is>
      </c>
      <c r="E27" s="9" t="inlineStr">
        <is>
          <t>Handle connect/disconnect, automatic reconnect, and behaviour when the app is backgrounded or the phone sleeps</t>
        </is>
      </c>
      <c r="F27" s="8" t="inlineStr">
        <is>
          <t>Customer</t>
        </is>
      </c>
      <c r="G27" s="8" t="inlineStr">
        <is>
          <t>Mobile</t>
        </is>
      </c>
      <c r="H27" s="8" t="inlineStr">
        <is>
          <t>No</t>
        </is>
      </c>
      <c r="I27" s="8" t="inlineStr">
        <is>
          <t>High</t>
        </is>
      </c>
      <c r="J27" s="9" t="inlineStr">
        <is>
          <t>OS background BLE modes available</t>
        </is>
      </c>
      <c r="K27" s="9" t="inlineStr">
        <is>
          <t>Guaranteed always-on background scanning</t>
        </is>
      </c>
      <c r="L27" s="9" t="inlineStr">
        <is>
          <t>iOS background BLE restrictions</t>
        </is>
      </c>
      <c r="M27" s="8">
        <f>N27/8</f>
        <v/>
      </c>
      <c r="N27" s="8" t="n">
        <v>24</v>
      </c>
      <c r="O27" s="8">
        <f>N27*$B$2</f>
        <v/>
      </c>
      <c r="P27" s="9" t="inlineStr">
        <is>
          <t>Foundational for proximity auto-lock in Phase 3</t>
        </is>
      </c>
    </row>
    <row r="28" ht="78" customHeight="1">
      <c r="A28" s="8" t="n">
        <v>8</v>
      </c>
      <c r="B28" s="9" t="inlineStr">
        <is>
          <t xml:space="preserve"> 1</t>
        </is>
      </c>
      <c r="C28" s="9" t="inlineStr">
        <is>
          <t>Profile</t>
        </is>
      </c>
      <c r="D28" s="9" t="inlineStr">
        <is>
          <t>Profile &amp; Settings</t>
        </is>
      </c>
      <c r="E28" s="9" t="inlineStr">
        <is>
          <t>View account profile and app settings (notifications, paired devices, sign out)</t>
        </is>
      </c>
      <c r="F28" s="8" t="inlineStr">
        <is>
          <t>Customer</t>
        </is>
      </c>
      <c r="G28" s="8" t="inlineStr">
        <is>
          <t>Mobile</t>
        </is>
      </c>
      <c r="H28" s="8" t="inlineStr">
        <is>
          <t>Partial</t>
        </is>
      </c>
      <c r="I28" s="8" t="inlineStr">
        <is>
          <t>Low</t>
        </is>
      </c>
      <c r="J28" s="9" t="inlineStr">
        <is>
          <t>Profile data in backend</t>
        </is>
      </c>
      <c r="K28" s="9" t="inlineStr">
        <is>
          <t>In-depth account editing</t>
        </is>
      </c>
      <c r="L28" s="9" t="inlineStr">
        <is>
          <t>—</t>
        </is>
      </c>
      <c r="M28" s="8">
        <f>N28/8</f>
        <v/>
      </c>
      <c r="N28" s="8" t="n">
        <v>12</v>
      </c>
      <c r="O28" s="8">
        <f>N28*$B$2</f>
        <v/>
      </c>
      <c r="P28" s="9" t="inlineStr">
        <is>
          <t>Read-mostly; account edits minimal</t>
        </is>
      </c>
    </row>
    <row r="29">
      <c r="A29" s="10" t="n"/>
      <c r="B29" s="10" t="n"/>
      <c r="C29" s="10" t="n"/>
      <c r="D29" s="11" t="inlineStr">
        <is>
          <t>Subtotal</t>
        </is>
      </c>
      <c r="E29" s="10" t="n"/>
      <c r="F29" s="10" t="n"/>
      <c r="G29" s="10" t="n"/>
      <c r="H29" s="10" t="n"/>
      <c r="I29" s="10" t="n"/>
      <c r="J29" s="10" t="n"/>
      <c r="K29" s="10" t="n"/>
      <c r="L29" s="10" t="n"/>
      <c r="M29" s="12">
        <f>SUM(M21:M28)</f>
        <v/>
      </c>
      <c r="N29" s="12">
        <f>SUM(N21:N28)</f>
        <v/>
      </c>
      <c r="O29" s="12">
        <f>SUM(O21:O28)</f>
        <v/>
      </c>
      <c r="P29" s="10" t="n"/>
    </row>
    <row r="30" ht="112" customHeight="1">
      <c r="A30" s="2" t="inlineStr">
        <is>
          <t>Exit Criteria</t>
        </is>
      </c>
      <c r="B30" s="7" t="inlineStr">
        <is>
          <t>- User can sign up, log in, and reset password
- User can scan, pair, and bond with a device over BLE
- User can pair multiple devices and see them listed
- User can rename and unpair devices; live status and battery shown
- Connection reconnects reliably across foreground/background
- Device records persist via backend sync</t>
        </is>
      </c>
    </row>
    <row r="32" ht="22" customHeight="1">
      <c r="A32" s="14" t="inlineStr">
        <is>
          <t>🟨 PHASE 2 — AGE &amp; IDENTITY VERIFICATION (ON-DEVICE)</t>
        </is>
      </c>
    </row>
    <row r="33" ht="48" customHeight="1">
      <c r="A33" s="2" t="inlineStr">
        <is>
          <t>Goal</t>
        </is>
      </c>
      <c r="B33" s="6" t="inlineStr">
        <is>
          <t>Gate first-time device activation behind an on-device 18+ check: read date of birth from a government ID and match the ID photo against a live selfie — entirely on-device, with no third-party verification service. This is the highest-risk phase.</t>
        </is>
      </c>
    </row>
    <row r="34" ht="120" customHeight="1">
      <c r="A34" s="2" t="inlineStr">
        <is>
          <t>Client framing</t>
        </is>
      </c>
      <c r="B34" s="7" t="inlineStr">
        <is>
          <t>This phase delivers:
  •  Guided government-ID capture
  •  On-device OCR to read date of birth and confirm 18+
  •  Guided selfie capture with basic liveness
  •  On-device face match: ID photo vs selfie
  •  Pass/fail decision with retries and a manual fallback policy
  •  Secure handling and deletion of all images/biometrics
  •  Verification status that gates first device activation
⚠️  No data leaves the device; only an age_verified flag is stored.</t>
        </is>
      </c>
    </row>
    <row r="35" ht="78" customHeight="1">
      <c r="A35" s="8" t="n">
        <v>1</v>
      </c>
      <c r="B35" s="9" t="inlineStr">
        <is>
          <t xml:space="preserve"> 2</t>
        </is>
      </c>
      <c r="C35" s="9" t="inlineStr">
        <is>
          <t>Capture</t>
        </is>
      </c>
      <c r="D35" s="9" t="inlineStr">
        <is>
          <t>Guided ID Capture UI</t>
        </is>
      </c>
      <c r="E35" s="9" t="inlineStr">
        <is>
          <t>Camera UI with edge detection and guidance so the user can photograph their government ID clearly</t>
        </is>
      </c>
      <c r="F35" s="8" t="inlineStr">
        <is>
          <t>Customer</t>
        </is>
      </c>
      <c r="G35" s="8" t="inlineStr">
        <is>
          <t>Mobile</t>
        </is>
      </c>
      <c r="H35" s="8" t="inlineStr">
        <is>
          <t>No</t>
        </is>
      </c>
      <c r="I35" s="8" t="inlineStr">
        <is>
          <t>Medium</t>
        </is>
      </c>
      <c r="J35" s="9" t="inlineStr">
        <is>
          <t>Device camera adequate; ML edge detection available</t>
        </is>
      </c>
      <c r="K35" s="9" t="inlineStr">
        <is>
          <t>Hardware document scanners</t>
        </is>
      </c>
      <c r="L35" s="9" t="inlineStr">
        <is>
          <t>Glare/low-light reduces capture quality</t>
        </is>
      </c>
      <c r="M35" s="8">
        <f>N35/8</f>
        <v/>
      </c>
      <c r="N35" s="8" t="n">
        <v>18</v>
      </c>
      <c r="O35" s="8">
        <f>N35*$B$2</f>
        <v/>
      </c>
      <c r="P35" s="9" t="inlineStr">
        <is>
          <t>Quality of capture directly affects OCR + match accuracy</t>
        </is>
      </c>
    </row>
    <row r="36" ht="78" customHeight="1">
      <c r="A36" s="8" t="n">
        <v>2</v>
      </c>
      <c r="B36" s="9" t="inlineStr">
        <is>
          <t xml:space="preserve"> 2</t>
        </is>
      </c>
      <c r="C36" s="9" t="inlineStr">
        <is>
          <t>OCR</t>
        </is>
      </c>
      <c r="D36" s="9" t="inlineStr">
        <is>
          <t>ID OCR &amp; DOB Extraction</t>
        </is>
      </c>
      <c r="E36" s="9" t="inlineStr">
        <is>
          <t>On-device text recognition (and PDF417/MRZ barcode parsing where present) to extract the date of birth from the ID</t>
        </is>
      </c>
      <c r="F36" s="8" t="inlineStr">
        <is>
          <t>Customer</t>
        </is>
      </c>
      <c r="G36" s="8" t="inlineStr">
        <is>
          <t>Mobile</t>
        </is>
      </c>
      <c r="H36" s="8" t="inlineStr">
        <is>
          <t>No</t>
        </is>
      </c>
      <c r="I36" s="8" t="inlineStr">
        <is>
          <t>High</t>
        </is>
      </c>
      <c r="J36" s="9" t="inlineStr">
        <is>
          <t>ML Kit (Android) / Vision (iOS) text &amp; barcode APIs</t>
        </is>
      </c>
      <c r="K36" s="9" t="inlineStr">
        <is>
          <t>Government ID validation / authenticity APIs</t>
        </is>
      </c>
      <c r="L36" s="9" t="inlineStr">
        <is>
          <t>Varied ID layouts across regions reduce accuracy</t>
        </is>
      </c>
      <c r="M36" s="8">
        <f>N36/8</f>
        <v/>
      </c>
      <c r="N36" s="8" t="n">
        <v>38</v>
      </c>
      <c r="O36" s="8">
        <f>N36*$B$2</f>
        <v/>
      </c>
      <c r="P36" s="9" t="inlineStr">
        <is>
          <t>We verify AGE only; supported ID types to be confirmed per market</t>
        </is>
      </c>
    </row>
    <row r="37" ht="78" customHeight="1">
      <c r="A37" s="8" t="n">
        <v>3</v>
      </c>
      <c r="B37" s="9" t="inlineStr">
        <is>
          <t xml:space="preserve"> 2</t>
        </is>
      </c>
      <c r="C37" s="9" t="inlineStr">
        <is>
          <t>Age</t>
        </is>
      </c>
      <c r="D37" s="9" t="inlineStr">
        <is>
          <t>Age (18+) Computation &amp; DOB Rules</t>
        </is>
      </c>
      <c r="E37" s="9" t="inlineStr">
        <is>
          <t>Parse extracted DOB across formats, compute age, and enforce the 18+ rule with clear pass/fail</t>
        </is>
      </c>
      <c r="F37" s="8" t="inlineStr">
        <is>
          <t>Customer</t>
        </is>
      </c>
      <c r="G37" s="8" t="inlineStr">
        <is>
          <t>Mobile</t>
        </is>
      </c>
      <c r="H37" s="8" t="inlineStr">
        <is>
          <t>No</t>
        </is>
      </c>
      <c r="I37" s="8" t="inlineStr">
        <is>
          <t>Medium</t>
        </is>
      </c>
      <c r="J37" s="9" t="inlineStr">
        <is>
          <t>DOB reliably extracted by OCR step</t>
        </is>
      </c>
      <c r="K37" s="9" t="inlineStr">
        <is>
          <t>ID expiry / fraud checks</t>
        </is>
      </c>
      <c r="L37" s="9" t="inlineStr">
        <is>
          <t>Date format ambiguity (DD/MM vs MM/DD)</t>
        </is>
      </c>
      <c r="M37" s="8">
        <f>N37/8</f>
        <v/>
      </c>
      <c r="N37" s="8" t="n">
        <v>16</v>
      </c>
      <c r="O37" s="8">
        <f>N37*$B$2</f>
        <v/>
      </c>
      <c r="P37" s="9" t="inlineStr">
        <is>
          <t>The only thing verified is age ≥ 18</t>
        </is>
      </c>
    </row>
    <row r="38" ht="78" customHeight="1">
      <c r="A38" s="8" t="n">
        <v>4</v>
      </c>
      <c r="B38" s="9" t="inlineStr">
        <is>
          <t xml:space="preserve"> 2</t>
        </is>
      </c>
      <c r="C38" s="9" t="inlineStr">
        <is>
          <t>Selfie</t>
        </is>
      </c>
      <c r="D38" s="9" t="inlineStr">
        <is>
          <t>Selfie Capture with Liveness</t>
        </is>
      </c>
      <c r="E38" s="9" t="inlineStr">
        <is>
          <t>Guided, Face-ID-enrollment-style selfie capture with basic liveness (blink/turn/multi-frame) to deter spoofing</t>
        </is>
      </c>
      <c r="F38" s="8" t="inlineStr">
        <is>
          <t>Customer</t>
        </is>
      </c>
      <c r="G38" s="8" t="inlineStr">
        <is>
          <t>Mobile</t>
        </is>
      </c>
      <c r="H38" s="8" t="inlineStr">
        <is>
          <t>No</t>
        </is>
      </c>
      <c r="I38" s="8" t="inlineStr">
        <is>
          <t>High</t>
        </is>
      </c>
      <c r="J38" s="9" t="inlineStr">
        <is>
          <t>Front camera + on-device face detection</t>
        </is>
      </c>
      <c r="K38" s="9" t="inlineStr">
        <is>
          <t>Advanced anti-spoofing (separate add-on)</t>
        </is>
      </c>
      <c r="L38" s="9" t="inlineStr">
        <is>
          <t>Basic liveness can be fooled by sophisticated attacks</t>
        </is>
      </c>
      <c r="M38" s="8">
        <f>N38/8</f>
        <v/>
      </c>
      <c r="N38" s="8" t="n">
        <v>26</v>
      </c>
      <c r="O38" s="8">
        <f>N38*$B$2</f>
        <v/>
      </c>
      <c r="P38" s="9" t="inlineStr">
        <is>
          <t>Advanced presentation-attack detection is an upsell</t>
        </is>
      </c>
    </row>
    <row r="39" ht="78" customHeight="1">
      <c r="A39" s="8" t="n">
        <v>5</v>
      </c>
      <c r="B39" s="9" t="inlineStr">
        <is>
          <t xml:space="preserve"> 2</t>
        </is>
      </c>
      <c r="C39" s="9" t="inlineStr">
        <is>
          <t>Face match</t>
        </is>
      </c>
      <c r="D39" s="9" t="inlineStr">
        <is>
          <t>ID-Photo vs Selfie Face Match</t>
        </is>
      </c>
      <c r="E39" s="9" t="inlineStr">
        <is>
          <t>Extract face embeddings from the ID photo and selfie on-device and compare similarity against a tuned threshold</t>
        </is>
      </c>
      <c r="F39" s="8" t="inlineStr">
        <is>
          <t>Customer</t>
        </is>
      </c>
      <c r="G39" s="8" t="inlineStr">
        <is>
          <t>Mobile</t>
        </is>
      </c>
      <c r="H39" s="8" t="inlineStr">
        <is>
          <t>No</t>
        </is>
      </c>
      <c r="I39" s="8" t="inlineStr">
        <is>
          <t>High</t>
        </is>
      </c>
      <c r="J39" s="9" t="inlineStr">
        <is>
          <t>On-device face embedding available; tuning data accessible</t>
        </is>
      </c>
      <c r="K39" s="9" t="inlineStr">
        <is>
          <t>Cloud face-recognition services</t>
        </is>
      </c>
      <c r="L39" s="9" t="inlineStr">
        <is>
          <t>False rejects on poor ID photos — needs tuning + fallback</t>
        </is>
      </c>
      <c r="M39" s="8">
        <f>N39/8</f>
        <v/>
      </c>
      <c r="N39" s="8" t="n">
        <v>40</v>
      </c>
      <c r="O39" s="8">
        <f>N39*$B$2</f>
        <v/>
      </c>
      <c r="P39" s="9" t="inlineStr">
        <is>
          <t>Biggest accuracy risk; dedicated threshold tuning time</t>
        </is>
      </c>
    </row>
    <row r="40" ht="78" customHeight="1">
      <c r="A40" s="8" t="n">
        <v>6</v>
      </c>
      <c r="B40" s="9" t="inlineStr">
        <is>
          <t xml:space="preserve"> 2</t>
        </is>
      </c>
      <c r="C40" s="9" t="inlineStr">
        <is>
          <t>Flow</t>
        </is>
      </c>
      <c r="D40" s="9" t="inlineStr">
        <is>
          <t>Result Handling, Retries &amp; Fallback</t>
        </is>
      </c>
      <c r="E40" s="9" t="inlineStr">
        <is>
          <t>Manage pass/fail outcomes, retry limits, clear error states, and an agreed manual-review fallback for legitimate edge cases</t>
        </is>
      </c>
      <c r="F40" s="8" t="inlineStr">
        <is>
          <t>Customer</t>
        </is>
      </c>
      <c r="G40" s="8" t="inlineStr">
        <is>
          <t>Mobile</t>
        </is>
      </c>
      <c r="H40" s="8" t="inlineStr">
        <is>
          <t>Partial</t>
        </is>
      </c>
      <c r="I40" s="8" t="inlineStr">
        <is>
          <t>Medium</t>
        </is>
      </c>
      <c r="J40" s="9" t="inlineStr">
        <is>
          <t>Manual fallback policy agreed with client</t>
        </is>
      </c>
      <c r="K40" s="9" t="inlineStr">
        <is>
          <t>Live human review desk (client-operated)</t>
        </is>
      </c>
      <c r="L40" s="9" t="inlineStr">
        <is>
          <t>Fallback policy undefined blocks genuine users</t>
        </is>
      </c>
      <c r="M40" s="8">
        <f>N40/8</f>
        <v/>
      </c>
      <c r="N40" s="8" t="n">
        <v>18</v>
      </c>
      <c r="O40" s="8">
        <f>N40*$B$2</f>
        <v/>
      </c>
      <c r="P40" s="9" t="inlineStr">
        <is>
          <t>Manual fallback policy must be agreed with client</t>
        </is>
      </c>
    </row>
    <row r="41" ht="78" customHeight="1">
      <c r="A41" s="8" t="n">
        <v>7</v>
      </c>
      <c r="B41" s="9" t="inlineStr">
        <is>
          <t xml:space="preserve"> 2</t>
        </is>
      </c>
      <c r="C41" s="9" t="inlineStr">
        <is>
          <t>Privacy</t>
        </is>
      </c>
      <c r="D41" s="9" t="inlineStr">
        <is>
          <t>Secure Handling &amp; Deletion of Biometrics</t>
        </is>
      </c>
      <c r="E41" s="9" t="inlineStr">
        <is>
          <t>Process ID/selfie/embeddings in secure storage and delete them immediately after the pass/fail decision</t>
        </is>
      </c>
      <c r="F41" s="8" t="inlineStr">
        <is>
          <t>Customer</t>
        </is>
      </c>
      <c r="G41" s="8" t="inlineStr">
        <is>
          <t>Mobile</t>
        </is>
      </c>
      <c r="H41" s="8" t="inlineStr">
        <is>
          <t>Partial</t>
        </is>
      </c>
      <c r="I41" s="8" t="inlineStr">
        <is>
          <t>Medium</t>
        </is>
      </c>
      <c r="J41" s="9" t="inlineStr">
        <is>
          <t>Secure storage APIs available</t>
        </is>
      </c>
      <c r="K41" s="9" t="inlineStr">
        <is>
          <t>Long-term document retention</t>
        </is>
      </c>
      <c r="L41" s="9" t="inlineStr">
        <is>
          <t>Residual files if deletion not enforced</t>
        </is>
      </c>
      <c r="M41" s="8">
        <f>N41/8</f>
        <v/>
      </c>
      <c r="N41" s="8" t="n">
        <v>16</v>
      </c>
      <c r="O41" s="8">
        <f>N41*$B$2</f>
        <v/>
      </c>
      <c r="P41" s="9" t="inlineStr">
        <is>
          <t>Backend never receives raw images or biometrics</t>
        </is>
      </c>
    </row>
    <row r="42" ht="78" customHeight="1">
      <c r="A42" s="8" t="n">
        <v>8</v>
      </c>
      <c r="B42" s="9" t="inlineStr">
        <is>
          <t xml:space="preserve"> 2</t>
        </is>
      </c>
      <c r="C42" s="9" t="inlineStr">
        <is>
          <t>Gating</t>
        </is>
      </c>
      <c r="D42" s="9" t="inlineStr">
        <is>
          <t>Verification Status &amp; Activation Gate</t>
        </is>
      </c>
      <c r="E42" s="9" t="inlineStr">
        <is>
          <t>Persist the verification result and gate first-time device activation on a successful 18+ verification</t>
        </is>
      </c>
      <c r="F42" s="8" t="inlineStr">
        <is>
          <t>Customer</t>
        </is>
      </c>
      <c r="G42" s="8" t="inlineStr">
        <is>
          <t>Both</t>
        </is>
      </c>
      <c r="H42" s="8" t="inlineStr">
        <is>
          <t>Yes</t>
        </is>
      </c>
      <c r="I42" s="8" t="inlineStr">
        <is>
          <t>Low</t>
        </is>
      </c>
      <c r="J42" s="9" t="inlineStr">
        <is>
          <t>Backend stores age_verified flag</t>
        </is>
      </c>
      <c r="K42" s="9" t="inlineStr">
        <is>
          <t>Per-session re-verification</t>
        </is>
      </c>
      <c r="L42" s="9" t="inlineStr">
        <is>
          <t>Flag tampering if not server-authoritative</t>
        </is>
      </c>
      <c r="M42" s="8">
        <f>N42/8</f>
        <v/>
      </c>
      <c r="N42" s="8" t="n">
        <v>12</v>
      </c>
      <c r="O42" s="8">
        <f>N42*$B$2</f>
        <v/>
      </c>
      <c r="P42" s="9" t="inlineStr">
        <is>
          <t>Only age_verified (+ timestamp/method) is stored</t>
        </is>
      </c>
    </row>
    <row r="43">
      <c r="A43" s="10" t="n"/>
      <c r="B43" s="10" t="n"/>
      <c r="C43" s="10" t="n"/>
      <c r="D43" s="11" t="inlineStr">
        <is>
          <t>Subtotal</t>
        </is>
      </c>
      <c r="E43" s="10" t="n"/>
      <c r="F43" s="10" t="n"/>
      <c r="G43" s="10" t="n"/>
      <c r="H43" s="10" t="n"/>
      <c r="I43" s="10" t="n"/>
      <c r="J43" s="10" t="n"/>
      <c r="K43" s="10" t="n"/>
      <c r="L43" s="10" t="n"/>
      <c r="M43" s="12">
        <f>SUM(M35:M42)</f>
        <v/>
      </c>
      <c r="N43" s="12">
        <f>SUM(N35:N42)</f>
        <v/>
      </c>
      <c r="O43" s="12">
        <f>SUM(O35:O42)</f>
        <v/>
      </c>
      <c r="P43" s="10" t="n"/>
    </row>
    <row r="44" ht="112" customHeight="1">
      <c r="A44" s="2" t="inlineStr">
        <is>
          <t>Exit Criteria</t>
        </is>
      </c>
      <c r="B44" s="7" t="inlineStr">
        <is>
          <t>- Valid 18+ ID with a matching selfie → verification passes
- Under-18 ID or mismatched selfie → verification blocked with clear message
- Poor-quality captures → guided retry within retry limits
- All ID/selfie/biometric data deleted after the decision
- Only an age_verified flag stored in the backend
- First-time device activation is gated on successful verification</t>
        </is>
      </c>
    </row>
    <row r="46" ht="22" customHeight="1">
      <c r="A46" s="15" t="inlineStr">
        <is>
          <t>🟥 PHASE 3 — PROXIMITY LOCK/UNLOCK &amp; PRODUCTION HARDENING</t>
        </is>
      </c>
    </row>
    <row r="47" ht="48" customHeight="1">
      <c r="A47" s="2" t="inlineStr">
        <is>
          <t>Goal</t>
        </is>
      </c>
      <c r="B47" s="6" t="inlineStr">
        <is>
          <t>Deliver secure lock/unlock control and proximity-based auto-lock, validate against real firmware, harden, and launch on both app stores.</t>
        </is>
      </c>
    </row>
    <row r="48" ht="120" customHeight="1">
      <c r="A48" s="2" t="inlineStr">
        <is>
          <t>Client framing</t>
        </is>
      </c>
      <c r="B48" s="7" t="inlineStr">
        <is>
          <t>This phase delivers:
  •  First-time unlock after successful verification
  •  Authenticated lock/unlock over BLE
  •  Proximity monitoring + auto-lock when the phone leaves range
  •  Correct background behaviour on iOS &amp; Android
  •  Push notifications (lock status, low battery)
  •  Joint firmware integration testing on real hardware
  •  Full E2E QA, security review, and store submission</t>
        </is>
      </c>
    </row>
    <row r="49" ht="78" customHeight="1">
      <c r="A49" s="8" t="n">
        <v>1</v>
      </c>
      <c r="B49" s="9" t="inlineStr">
        <is>
          <t xml:space="preserve"> 3</t>
        </is>
      </c>
      <c r="C49" s="9" t="inlineStr">
        <is>
          <t>Activation</t>
        </is>
      </c>
      <c r="D49" s="9" t="inlineStr">
        <is>
          <t>First-Time Unlock (Activation)</t>
        </is>
      </c>
      <c r="E49" s="9" t="inlineStr">
        <is>
          <t>After successful age verification, allow the user to activate and unlock the device for the first time</t>
        </is>
      </c>
      <c r="F49" s="8" t="inlineStr">
        <is>
          <t>Customer</t>
        </is>
      </c>
      <c r="G49" s="8" t="inlineStr">
        <is>
          <t>Mobile</t>
        </is>
      </c>
      <c r="H49" s="8" t="inlineStr">
        <is>
          <t>Partial</t>
        </is>
      </c>
      <c r="I49" s="8" t="inlineStr">
        <is>
          <t>Medium</t>
        </is>
      </c>
      <c r="J49" s="9" t="inlineStr">
        <is>
          <t>Verification flag available; device paired</t>
        </is>
      </c>
      <c r="K49" s="9" t="inlineStr">
        <is>
          <t>Activation without verification</t>
        </is>
      </c>
      <c r="L49" s="9" t="inlineStr">
        <is>
          <t>Activation race conditions</t>
        </is>
      </c>
      <c r="M49" s="8">
        <f>N49/8</f>
        <v/>
      </c>
      <c r="N49" s="8" t="n">
        <v>16</v>
      </c>
      <c r="O49" s="8">
        <f>N49*$B$2</f>
        <v/>
      </c>
      <c r="P49" s="9" t="inlineStr">
        <is>
          <t>Activation impossible until age_verified is true</t>
        </is>
      </c>
    </row>
    <row r="50" ht="78" customHeight="1">
      <c r="A50" s="8" t="n">
        <v>2</v>
      </c>
      <c r="B50" s="9" t="inlineStr">
        <is>
          <t xml:space="preserve"> 3</t>
        </is>
      </c>
      <c r="C50" s="9" t="inlineStr">
        <is>
          <t>Control</t>
        </is>
      </c>
      <c r="D50" s="9" t="inlineStr">
        <is>
          <t>Authenticated Lock/Unlock over BLE</t>
        </is>
      </c>
      <c r="E50" s="9" t="inlineStr">
        <is>
          <t>Send authenticated lock/unlock commands via the BLE characteristic; reflect device-reported lock state in the app</t>
        </is>
      </c>
      <c r="F50" s="8" t="inlineStr">
        <is>
          <t>Customer</t>
        </is>
      </c>
      <c r="G50" s="8" t="inlineStr">
        <is>
          <t>Mobile</t>
        </is>
      </c>
      <c r="H50" s="8" t="inlineStr">
        <is>
          <t>Partial</t>
        </is>
      </c>
      <c r="I50" s="8" t="inlineStr">
        <is>
          <t>High</t>
        </is>
      </c>
      <c r="J50" s="9" t="inlineStr">
        <is>
          <t>Firmware implements the lock command + session auth</t>
        </is>
      </c>
      <c r="K50" s="9" t="inlineStr">
        <is>
          <t>Lock control without a paired phone</t>
        </is>
      </c>
      <c r="L50" s="9" t="inlineStr">
        <is>
          <t>Replay/spoofed commands if auth weak</t>
        </is>
      </c>
      <c r="M50" s="8">
        <f>N50/8</f>
        <v/>
      </c>
      <c r="N50" s="8" t="n">
        <v>24</v>
      </c>
      <c r="O50" s="8">
        <f>N50*$B$2</f>
        <v/>
      </c>
      <c r="P50" s="9" t="inlineStr">
        <is>
          <t>Only the bonded, verified user's app can command</t>
        </is>
      </c>
    </row>
    <row r="51" ht="78" customHeight="1">
      <c r="A51" s="8" t="n">
        <v>3</v>
      </c>
      <c r="B51" s="9" t="inlineStr">
        <is>
          <t xml:space="preserve"> 3</t>
        </is>
      </c>
      <c r="C51" s="9" t="inlineStr">
        <is>
          <t>Proximity</t>
        </is>
      </c>
      <c r="D51" s="9" t="inlineStr">
        <is>
          <t>Proximity Monitor &amp; Auto-Lock on Range Loss</t>
        </is>
      </c>
      <c r="E51" s="9" t="inlineStr">
        <is>
          <t>Monitor BLE connection/RSSI and auto-lock when the phone leaves range; firmware also self-locks on link loss (dead-man)</t>
        </is>
      </c>
      <c r="F51" s="8" t="inlineStr">
        <is>
          <t>Customer</t>
        </is>
      </c>
      <c r="G51" s="8" t="inlineStr">
        <is>
          <t>Both</t>
        </is>
      </c>
      <c r="H51" s="8" t="inlineStr">
        <is>
          <t>Partial</t>
        </is>
      </c>
      <c r="I51" s="8" t="inlineStr">
        <is>
          <t>High</t>
        </is>
      </c>
      <c r="J51" s="9" t="inlineStr">
        <is>
          <t>Firmware dead-man auto-lock implemented per spec</t>
        </is>
      </c>
      <c r="K51" s="9" t="inlineStr">
        <is>
          <t>Precise distance/geofencing</t>
        </is>
      </c>
      <c r="L51" s="9" t="inlineStr">
        <is>
          <t>RSSI is noisy — thresholds need tuning</t>
        </is>
      </c>
      <c r="M51" s="8">
        <f>N51/8</f>
        <v/>
      </c>
      <c r="N51" s="8" t="n">
        <v>38</v>
      </c>
      <c r="O51" s="8">
        <f>N51*$B$2</f>
        <v/>
      </c>
      <c r="P51" s="9" t="inlineStr">
        <is>
          <t>Device-enforced lock is the safety guarantee, not app-only</t>
        </is>
      </c>
    </row>
    <row r="52" ht="78" customHeight="1">
      <c r="A52" s="8" t="n">
        <v>4</v>
      </c>
      <c r="B52" s="9" t="inlineStr">
        <is>
          <t xml:space="preserve"> 3</t>
        </is>
      </c>
      <c r="C52" s="9" t="inlineStr">
        <is>
          <t>Background</t>
        </is>
      </c>
      <c r="D52" s="9" t="inlineStr">
        <is>
          <t>Background BLE Behaviour (iOS &amp; Android)</t>
        </is>
      </c>
      <c r="E52" s="9" t="inlineStr">
        <is>
          <t>Ensure proximity monitoring and auto-lock work when the app is backgrounded or the phone is locked, within OS limits</t>
        </is>
      </c>
      <c r="F52" s="8" t="inlineStr">
        <is>
          <t>Customer</t>
        </is>
      </c>
      <c r="G52" s="8" t="inlineStr">
        <is>
          <t>Mobile</t>
        </is>
      </c>
      <c r="H52" s="8" t="inlineStr">
        <is>
          <t>No</t>
        </is>
      </c>
      <c r="I52" s="8" t="inlineStr">
        <is>
          <t>High</t>
        </is>
      </c>
      <c r="J52" s="9" t="inlineStr">
        <is>
          <t>OS background BLE modes sufficient</t>
        </is>
      </c>
      <c r="K52" s="9" t="inlineStr">
        <is>
          <t>Guaranteed instant background wake on all OEMs</t>
        </is>
      </c>
      <c r="L52" s="9" t="inlineStr">
        <is>
          <t>iOS/Android background BLE restrictions differ</t>
        </is>
      </c>
      <c r="M52" s="8">
        <f>N52/8</f>
        <v/>
      </c>
      <c r="N52" s="8" t="n">
        <v>32</v>
      </c>
      <c r="O52" s="8">
        <f>N52*$B$2</f>
        <v/>
      </c>
      <c r="P52" s="9" t="inlineStr">
        <is>
          <t>Behaviour and limits documented for the client</t>
        </is>
      </c>
    </row>
    <row r="53" ht="78" customHeight="1">
      <c r="A53" s="8" t="n">
        <v>5</v>
      </c>
      <c r="B53" s="9" t="inlineStr">
        <is>
          <t xml:space="preserve"> 3</t>
        </is>
      </c>
      <c r="C53" s="9" t="inlineStr">
        <is>
          <t>Push</t>
        </is>
      </c>
      <c r="D53" s="9" t="inlineStr">
        <is>
          <t>Push Notifications</t>
        </is>
      </c>
      <c r="E53" s="9" t="inlineStr">
        <is>
          <t>Notify the user of relevant events: device locked/unlocked, low battery, out-of-range auto-lock</t>
        </is>
      </c>
      <c r="F53" s="8" t="inlineStr">
        <is>
          <t>Customer</t>
        </is>
      </c>
      <c r="G53" s="8" t="inlineStr">
        <is>
          <t>Both</t>
        </is>
      </c>
      <c r="H53" s="8" t="inlineStr">
        <is>
          <t>Yes</t>
        </is>
      </c>
      <c r="I53" s="8" t="inlineStr">
        <is>
          <t>Medium</t>
        </is>
      </c>
      <c r="J53" s="9" t="inlineStr">
        <is>
          <t>FCM/APNs configured (Phase 0)</t>
        </is>
      </c>
      <c r="K53" s="9" t="inlineStr">
        <is>
          <t>SMS notifications</t>
        </is>
      </c>
      <c r="L53" s="9" t="inlineStr">
        <is>
          <t>Delivery reliability across platforms</t>
        </is>
      </c>
      <c r="M53" s="8">
        <f>N53/8</f>
        <v/>
      </c>
      <c r="N53" s="8" t="n">
        <v>16</v>
      </c>
      <c r="O53" s="8">
        <f>N53*$B$2</f>
        <v/>
      </c>
      <c r="P53" s="9" t="inlineStr">
        <is>
          <t>Frequency tuned to avoid spam</t>
        </is>
      </c>
    </row>
    <row r="54" ht="78" customHeight="1">
      <c r="A54" s="8" t="n">
        <v>6</v>
      </c>
      <c r="B54" s="9" t="inlineStr">
        <is>
          <t xml:space="preserve"> 3</t>
        </is>
      </c>
      <c r="C54" s="9" t="inlineStr">
        <is>
          <t>Integration</t>
        </is>
      </c>
      <c r="D54" s="9" t="inlineStr">
        <is>
          <t>Joint Firmware Integration Testing</t>
        </is>
      </c>
      <c r="E54" s="9" t="inlineStr">
        <is>
          <t>Integrate and test the app against real firmware on a physical device: pairing, lock/unlock, auto-lock, battery, edge cases</t>
        </is>
      </c>
      <c r="F54" s="8" t="inlineStr">
        <is>
          <t>Admin</t>
        </is>
      </c>
      <c r="G54" s="8" t="inlineStr">
        <is>
          <t>Both</t>
        </is>
      </c>
      <c r="H54" s="8" t="inlineStr">
        <is>
          <t>Partial</t>
        </is>
      </c>
      <c r="I54" s="8" t="inlineStr">
        <is>
          <t>High</t>
        </is>
      </c>
      <c r="J54" s="9" t="inlineStr">
        <is>
          <t>Physical device + firmware available by ~week 6</t>
        </is>
      </c>
      <c r="K54" s="9" t="inlineStr">
        <is>
          <t>Firmware bug-fixing (client team)</t>
        </is>
      </c>
      <c r="L54" s="9" t="inlineStr">
        <is>
          <t>Firmware delays compress this window</t>
        </is>
      </c>
      <c r="M54" s="8">
        <f>N54/8</f>
        <v/>
      </c>
      <c r="N54" s="8" t="n">
        <v>24</v>
      </c>
      <c r="O54" s="8">
        <f>N54*$B$2</f>
        <v/>
      </c>
      <c r="P54" s="9" t="inlineStr">
        <is>
          <t>Joint testing with the client firmware team</t>
        </is>
      </c>
    </row>
    <row r="55" ht="78" customHeight="1">
      <c r="A55" s="8" t="n">
        <v>7</v>
      </c>
      <c r="B55" s="9" t="inlineStr">
        <is>
          <t xml:space="preserve"> 3</t>
        </is>
      </c>
      <c r="C55" s="9" t="inlineStr">
        <is>
          <t>QA</t>
        </is>
      </c>
      <c r="D55" s="9" t="inlineStr">
        <is>
          <t>E2E QA, Edge Cases &amp; Security Review</t>
        </is>
      </c>
      <c r="E55" s="9" t="inlineStr">
        <is>
          <t>Full end-to-end testing across the verification, pairing, and lock/unlock flows; security review of auth, storage, and data deletion</t>
        </is>
      </c>
      <c r="F55" s="8" t="inlineStr">
        <is>
          <t>Admin</t>
        </is>
      </c>
      <c r="G55" s="8" t="inlineStr">
        <is>
          <t>Both</t>
        </is>
      </c>
      <c r="H55" s="8" t="inlineStr">
        <is>
          <t>Partial</t>
        </is>
      </c>
      <c r="I55" s="8" t="inlineStr">
        <is>
          <t>High</t>
        </is>
      </c>
      <c r="J55" s="9" t="inlineStr">
        <is>
          <t>Test devices and sample IDs available</t>
        </is>
      </c>
      <c r="K55" s="9" t="inlineStr">
        <is>
          <t>Third-party formal pen-test</t>
        </is>
      </c>
      <c r="L55" s="9" t="inlineStr">
        <is>
          <t>Late-found defects near launch</t>
        </is>
      </c>
      <c r="M55" s="8">
        <f>N55/8</f>
        <v/>
      </c>
      <c r="N55" s="8" t="n">
        <v>24</v>
      </c>
      <c r="O55" s="8">
        <f>N55*$B$2</f>
        <v/>
      </c>
      <c r="P55" s="9" t="inlineStr">
        <is>
          <t>Includes the verification accuracy test matrix</t>
        </is>
      </c>
    </row>
    <row r="56" ht="78" customHeight="1">
      <c r="A56" s="8" t="n">
        <v>8</v>
      </c>
      <c r="B56" s="9" t="inlineStr">
        <is>
          <t xml:space="preserve"> 3</t>
        </is>
      </c>
      <c r="C56" s="9" t="inlineStr">
        <is>
          <t>Release</t>
        </is>
      </c>
      <c r="D56" s="9" t="inlineStr">
        <is>
          <t>App Store Submission (iOS &amp; Android)</t>
        </is>
      </c>
      <c r="E56" s="9" t="inlineStr">
        <is>
          <t>Prepare store listings, assets, privacy disclosures, and submit to the App Store and Google Play</t>
        </is>
      </c>
      <c r="F56" s="8" t="inlineStr">
        <is>
          <t>Admin</t>
        </is>
      </c>
      <c r="G56" s="8" t="inlineStr">
        <is>
          <t>Both</t>
        </is>
      </c>
      <c r="H56" s="8" t="inlineStr">
        <is>
          <t>No</t>
        </is>
      </c>
      <c r="I56" s="8" t="inlineStr">
        <is>
          <t>Medium</t>
        </is>
      </c>
      <c r="J56" s="9" t="inlineStr">
        <is>
          <t>Developer accounts and store assets ready</t>
        </is>
      </c>
      <c r="K56" s="9" t="inlineStr">
        <is>
          <t>Ongoing ASO/marketing</t>
        </is>
      </c>
      <c r="L56" s="9" t="inlineStr">
        <is>
          <t>Store review rejection (age-restricted product policy)</t>
        </is>
      </c>
      <c r="M56" s="8">
        <f>N56/8</f>
        <v/>
      </c>
      <c r="N56" s="8" t="n">
        <v>16</v>
      </c>
      <c r="O56" s="8">
        <f>N56*$B$2</f>
        <v/>
      </c>
      <c r="P56" s="9" t="inlineStr">
        <is>
          <t>Age-restricted product policies must be reviewed early</t>
        </is>
      </c>
    </row>
    <row r="57">
      <c r="A57" s="10" t="n"/>
      <c r="B57" s="10" t="n"/>
      <c r="C57" s="10" t="n"/>
      <c r="D57" s="11" t="inlineStr">
        <is>
          <t>Subtotal</t>
        </is>
      </c>
      <c r="E57" s="10" t="n"/>
      <c r="F57" s="10" t="n"/>
      <c r="G57" s="10" t="n"/>
      <c r="H57" s="10" t="n"/>
      <c r="I57" s="10" t="n"/>
      <c r="J57" s="10" t="n"/>
      <c r="K57" s="10" t="n"/>
      <c r="L57" s="10" t="n"/>
      <c r="M57" s="12">
        <f>SUM(M49:M56)</f>
        <v/>
      </c>
      <c r="N57" s="12">
        <f>SUM(N49:N56)</f>
        <v/>
      </c>
      <c r="O57" s="12">
        <f>SUM(O49:O56)</f>
        <v/>
      </c>
      <c r="P57" s="10" t="n"/>
    </row>
    <row r="58" ht="128" customHeight="1">
      <c r="A58" s="2" t="inlineStr">
        <is>
          <t>Exit Criteria</t>
        </is>
      </c>
      <c r="B58" s="7" t="inlineStr">
        <is>
          <t>- Verified user can lock and unlock the device while in BLE range
- Device auto-locks when the phone leaves range (firmware + app)
- Proximity behaviour works when the app is backgrounded
- Push notifications delivered for lock status and low battery
- App validated against real firmware on a physical device
- Passes E2E QA + security review
- Submitted and live on the App Store and Google Play</t>
        </is>
      </c>
    </row>
    <row r="60">
      <c r="A60" s="16" t="n"/>
      <c r="B60" s="16" t="n"/>
      <c r="C60" s="16" t="n"/>
      <c r="D60" s="17" t="inlineStr">
        <is>
          <t>CORE TOTAL (Phases 0–3)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8" t="n">
        <v>83.5</v>
      </c>
      <c r="N60" s="18" t="n">
        <v>668</v>
      </c>
      <c r="O60" s="18">
        <f>N60*$B$2</f>
        <v/>
      </c>
      <c r="P60" s="16" t="n"/>
    </row>
    <row r="61">
      <c r="D61" s="2" t="inlineStr">
        <is>
          <t>Negotiation / Risk Buffer (12%)</t>
        </is>
      </c>
      <c r="N61" s="19">
        <f>ROUND(N60*0.12,0)</f>
        <v/>
      </c>
      <c r="O61" s="19">
        <f>N61*$B$2</f>
        <v/>
      </c>
    </row>
    <row r="62">
      <c r="A62" s="20" t="n"/>
      <c r="B62" s="20" t="n"/>
      <c r="C62" s="20" t="n"/>
      <c r="D62" s="21" t="inlineStr">
        <is>
          <t>GRAND TOTAL (Core + Buffer)</t>
        </is>
      </c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2">
        <f>N60+N61</f>
        <v/>
      </c>
      <c r="O62" s="22">
        <f>N62*$B$2</f>
        <v/>
      </c>
      <c r="P62" s="20" t="n"/>
    </row>
    <row r="64" ht="22" customHeight="1">
      <c r="A64" s="23" t="inlineStr">
        <is>
          <t>➕ ADD-ONS / UPSELL (OUT OF BASE SCOPE)</t>
        </is>
      </c>
    </row>
    <row r="65" ht="48" customHeight="1">
      <c r="A65" s="2" t="inlineStr">
        <is>
          <t>Goal</t>
        </is>
      </c>
      <c r="B65" s="6" t="inlineStr">
        <is>
          <t>Optional modules presented as add-ons to the core 4-phase delivery.</t>
        </is>
      </c>
    </row>
    <row r="66" ht="120" customHeight="1">
      <c r="A66" s="2" t="inlineStr">
        <is>
          <t>Client framing</t>
        </is>
      </c>
      <c r="B66" s="7" t="inlineStr">
        <is>
          <t>Each item below is quoted separately and is not included in the base 2-month scope.</t>
        </is>
      </c>
    </row>
    <row r="67" ht="78" customHeight="1">
      <c r="A67" s="8" t="n">
        <v>1</v>
      </c>
      <c r="B67" s="9" t="inlineStr">
        <is>
          <t>E)</t>
        </is>
      </c>
      <c r="C67" s="9" t="inlineStr">
        <is>
          <t>Admin</t>
        </is>
      </c>
      <c r="D67" s="9" t="inlineStr">
        <is>
          <t>Admin Web Panel</t>
        </is>
      </c>
      <c r="E67" s="9" t="inlineStr">
        <is>
          <t>Web dashboard for device fleet management, verification audit log, and user management</t>
        </is>
      </c>
      <c r="F67" s="8" t="inlineStr">
        <is>
          <t>Admin</t>
        </is>
      </c>
      <c r="G67" s="8" t="inlineStr">
        <is>
          <t>Web</t>
        </is>
      </c>
      <c r="H67" s="8" t="inlineStr">
        <is>
          <t>Yes</t>
        </is>
      </c>
      <c r="I67" s="8" t="inlineStr">
        <is>
          <t>High</t>
        </is>
      </c>
      <c r="J67" s="9" t="inlineStr">
        <is>
          <t>Backend exposes admin APIs</t>
        </is>
      </c>
      <c r="K67" s="9" t="inlineStr">
        <is>
          <t>—</t>
        </is>
      </c>
      <c r="L67" s="9" t="inlineStr">
        <is>
          <t>Standalone product — significant scope</t>
        </is>
      </c>
      <c r="M67" s="8">
        <f>N67/8</f>
        <v/>
      </c>
      <c r="N67" s="8" t="n">
        <v>120</v>
      </c>
      <c r="O67" s="8">
        <f>N67*$B$2</f>
        <v/>
      </c>
      <c r="P67" s="9" t="inlineStr">
        <is>
          <t>Recommended for operations at scale</t>
        </is>
      </c>
    </row>
    <row r="68" ht="78" customHeight="1">
      <c r="A68" s="8" t="n">
        <v>2</v>
      </c>
      <c r="B68" s="9" t="inlineStr">
        <is>
          <t>E)</t>
        </is>
      </c>
      <c r="C68" s="9" t="inlineStr">
        <is>
          <t>Analytics</t>
        </is>
      </c>
      <c r="D68" s="9" t="inlineStr">
        <is>
          <t>Analytics &amp; Crash Reporting</t>
        </is>
      </c>
      <c r="E68" s="9" t="inlineStr">
        <is>
          <t>Integrate analytics and crash reporting (e.g. Firebase/Sentry) for usage and stability insight</t>
        </is>
      </c>
      <c r="F68" s="8" t="inlineStr">
        <is>
          <t>Admin</t>
        </is>
      </c>
      <c r="G68" s="8" t="inlineStr">
        <is>
          <t>Both</t>
        </is>
      </c>
      <c r="H68" s="8" t="inlineStr">
        <is>
          <t>Partial</t>
        </is>
      </c>
      <c r="I68" s="8" t="inlineStr">
        <is>
          <t>Low</t>
        </is>
      </c>
      <c r="J68" s="9" t="inlineStr">
        <is>
          <t>Analytics SDK and account available</t>
        </is>
      </c>
      <c r="K68" s="9" t="inlineStr">
        <is>
          <t>Custom BI dashboards</t>
        </is>
      </c>
      <c r="L68" s="9" t="inlineStr">
        <is>
          <t>—</t>
        </is>
      </c>
      <c r="M68" s="8">
        <f>N68/8</f>
        <v/>
      </c>
      <c r="N68" s="8" t="n">
        <v>24</v>
      </c>
      <c r="O68" s="8">
        <f>N68*$B$2</f>
        <v/>
      </c>
      <c r="P68" s="9" t="inlineStr">
        <is>
          <t>Low effort, high operational value</t>
        </is>
      </c>
    </row>
    <row r="69" ht="78" customHeight="1">
      <c r="A69" s="8" t="n">
        <v>3</v>
      </c>
      <c r="B69" s="9" t="inlineStr">
        <is>
          <t>E)</t>
        </is>
      </c>
      <c r="C69" s="9" t="inlineStr">
        <is>
          <t>Firmware</t>
        </is>
      </c>
      <c r="D69" s="9" t="inlineStr">
        <is>
          <t>Firmware Development</t>
        </is>
      </c>
      <c r="E69" s="9" t="inlineStr">
        <is>
          <t>Develop the device firmware on the YC1012_JD + Cortex-M0+ (BLE service, lock/unlock, dead-man auto-lock)</t>
        </is>
      </c>
      <c r="F69" s="8" t="inlineStr">
        <is>
          <t>Admin</t>
        </is>
      </c>
      <c r="G69" s="8" t="inlineStr">
        <is>
          <t>Both</t>
        </is>
      </c>
      <c r="H69" s="8" t="inlineStr">
        <is>
          <t>No</t>
        </is>
      </c>
      <c r="I69" s="8" t="inlineStr">
        <is>
          <t>High</t>
        </is>
      </c>
      <c r="J69" s="9" t="inlineStr">
        <is>
          <t>Hardware toolchain and access provided</t>
        </is>
      </c>
      <c r="K69" s="9" t="inlineStr">
        <is>
          <t>—</t>
        </is>
      </c>
      <c r="L69" s="9" t="inlineStr">
        <is>
          <t>Embedded scope — separate estimate</t>
        </is>
      </c>
      <c r="M69" s="8">
        <f>N69/8</f>
        <v/>
      </c>
      <c r="N69" s="8" t="n">
        <v>0</v>
      </c>
      <c r="O69" s="8">
        <f>N69*$B$2</f>
        <v/>
      </c>
      <c r="P69" s="9" t="inlineStr">
        <is>
          <t>Quoted separately if client wants us to build firmware</t>
        </is>
      </c>
    </row>
    <row r="70" ht="78" customHeight="1">
      <c r="A70" s="8" t="n">
        <v>4</v>
      </c>
      <c r="B70" s="9" t="inlineStr">
        <is>
          <t>E)</t>
        </is>
      </c>
      <c r="C70" s="9" t="inlineStr">
        <is>
          <t>Security</t>
        </is>
      </c>
      <c r="D70" s="9" t="inlineStr">
        <is>
          <t>Advanced Liveness / Anti-Spoofing</t>
        </is>
      </c>
      <c r="E70" s="9" t="inlineStr">
        <is>
          <t>Presentation-attack detection to harden the selfie step against photo/video/mask spoofing</t>
        </is>
      </c>
      <c r="F70" s="8" t="inlineStr">
        <is>
          <t>Customer</t>
        </is>
      </c>
      <c r="G70" s="8" t="inlineStr">
        <is>
          <t>Mobile</t>
        </is>
      </c>
      <c r="H70" s="8" t="inlineStr">
        <is>
          <t>No</t>
        </is>
      </c>
      <c r="I70" s="8" t="inlineStr">
        <is>
          <t>High</t>
        </is>
      </c>
      <c r="J70" s="9" t="inlineStr">
        <is>
          <t>Suitable on-device PAD model available</t>
        </is>
      </c>
      <c r="K70" s="9" t="inlineStr">
        <is>
          <t>—</t>
        </is>
      </c>
      <c r="L70" s="9" t="inlineStr">
        <is>
          <t>Accuracy/UX tuning intensive</t>
        </is>
      </c>
      <c r="M70" s="8">
        <f>N70/8</f>
        <v/>
      </c>
      <c r="N70" s="8" t="n">
        <v>60</v>
      </c>
      <c r="O70" s="8">
        <f>N70*$B$2</f>
        <v/>
      </c>
      <c r="P70" s="9" t="inlineStr">
        <is>
          <t>Strengthens the verification step</t>
        </is>
      </c>
    </row>
    <row r="71">
      <c r="A71" s="10" t="n"/>
      <c r="B71" s="10" t="n"/>
      <c r="C71" s="10" t="n"/>
      <c r="D71" s="11" t="inlineStr">
        <is>
          <t>Subtotal</t>
        </is>
      </c>
      <c r="E71" s="10" t="n"/>
      <c r="F71" s="10" t="n"/>
      <c r="G71" s="10" t="n"/>
      <c r="H71" s="10" t="n"/>
      <c r="I71" s="10" t="n"/>
      <c r="J71" s="10" t="n"/>
      <c r="K71" s="10" t="n"/>
      <c r="L71" s="10" t="n"/>
      <c r="M71" s="12">
        <f>SUM(M67:M70)</f>
        <v/>
      </c>
      <c r="N71" s="12">
        <f>SUM(N67:N70)</f>
        <v/>
      </c>
      <c r="O71" s="12">
        <f>SUM(O67:O70)</f>
        <v/>
      </c>
      <c r="P71" s="10" t="n"/>
    </row>
  </sheetData>
  <mergeCells count="20">
    <mergeCell ref="A5:P5"/>
    <mergeCell ref="A32:P32"/>
    <mergeCell ref="B48:P48"/>
    <mergeCell ref="B44:P44"/>
    <mergeCell ref="B34:P34"/>
    <mergeCell ref="B19:P19"/>
    <mergeCell ref="B65:P65"/>
    <mergeCell ref="A64:P64"/>
    <mergeCell ref="B30:P30"/>
    <mergeCell ref="B33:P33"/>
    <mergeCell ref="B6:P6"/>
    <mergeCell ref="B20:P20"/>
    <mergeCell ref="A1:P1"/>
    <mergeCell ref="B7:P7"/>
    <mergeCell ref="A46:P46"/>
    <mergeCell ref="B47:P47"/>
    <mergeCell ref="B16:P16"/>
    <mergeCell ref="A18:P18"/>
    <mergeCell ref="B66:P66"/>
    <mergeCell ref="B58:P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2026-06-18T04:28:47Z</dcterms:created>
  <dcterms:modified xsi:type="dcterms:W3CDTF">2026-06-18T04:28:47Z</dcterms:modified>
</cp:coreProperties>
</file>